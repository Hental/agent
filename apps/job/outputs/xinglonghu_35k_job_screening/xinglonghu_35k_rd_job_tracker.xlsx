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cc27837f4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813667627be44a9"/>
    <x:sheet xmlns:r="http://schemas.openxmlformats.org/officeDocument/2006/relationships" name="岗位表" sheetId="2" r:id="R59786978a5c14d4f"/>
    <x:sheet xmlns:r="http://schemas.openxmlformats.org/officeDocument/2006/relationships" name="评分说明" sheetId="3" r:id="R92c1010792c54765"/>
    <x:sheet xmlns:r="http://schemas.openxmlformats.org/officeDocument/2006/relationships" name="沟通核验" sheetId="4" r:id="R4316495c9d45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&quot;分钟&quot;"/>
    <x:numFmt numFmtId="202" formatCode="0"/>
    <x:numFmt numFmtId="203" formatCode="yyyy-mm-dd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374151"/>
      <x:name val="Carlito"/>
    </x:font>
    <x:font>
      <x:b/>
      <x:sz val="11"/>
      <x:color rgb="FF111827"/>
      <x:name val="Carlito"/>
    </x:font>
    <x:font>
      <x:b/>
      <x:sz val="11"/>
      <x:color rgb="FF2563EB"/>
      <x:name val="Carlito"/>
    </x:font>
    <x:font>
      <x:b/>
      <x:sz val="11"/>
      <x:color rgb="FFFFFFFF"/>
      <x:name val="Arial"/>
    </x:font>
    <x:font>
      <x:sz val="11"/>
      <x:color rgb="FF374151"/>
      <x:name val="Arial"/>
    </x:font>
    <x:font>
      <x:sz val="11"/>
      <x:name val="Arial"/>
    </x:font>
    <x:font>
      <x:b/>
      <x:sz val="11"/>
      <x:color rgb="FF111827"/>
      <x:name val="Arial"/>
    </x:font>
    <x:font>
      <x:b/>
      <x:sz val="11"/>
      <x:color rgb="FF2563EB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D97706"/>
      </x:patternFill>
    </x:fill>
    <x:fill>
      <x:patternFill patternType="solid">
        <x:fgColor rgb="FF374151"/>
      </x:patternFill>
    </x:fill>
    <x:fill>
      <x:patternFill patternType="solid">
        <x:fgColor rgb="FFEAF2FF"/>
      </x:patternFill>
    </x:fill>
    <x:fill>
      <x:patternFill patternType="solid">
        <x:fgColor rgb="FFE6F4F1"/>
      </x:patternFill>
    </x:fill>
    <x:fill>
      <x:patternFill patternType="solid">
        <x:fgColor rgb="FFDC262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2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200" fontId="0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200" fontId="0" fillId="5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left"/>
    </x:xf>
    <x:xf numFmtId="0" fontId="3" fillId="0" borderId="3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/>
    <x:xf numFmtId="0" fontId="4" fillId="0" borderId="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2" fillId="9" borderId="7" xfId="0" applyNumberFormat="1" applyFont="1" applyFill="1" applyBorder="1" applyAlignment="1">
      <x:alignment vertical="center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2" fillId="9" borderId="5" xfId="0" applyNumberFormat="1" applyFont="1" applyFill="1" applyBorder="1" applyAlignment="1">
      <x:alignment vertical="center" wrapText="1"/>
    </x:xf>
    <x:xf numFmtId="0" fontId="2" fillId="9" borderId="8" xfId="0" applyNumberFormat="1" applyFont="1" applyFill="1" applyBorder="1" applyAlignment="1">
      <x:alignment vertical="center" wrapText="1"/>
    </x:xf>
    <x:xf numFmtId="0" fontId="2" fillId="9" borderId="6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10" borderId="3" xfId="0" applyNumberFormat="1" applyFont="1" applyFill="1" applyBorder="1"/>
    <x:xf numFmtId="0" fontId="3" fillId="10" borderId="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2" fontId="0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1" fillId="8" borderId="7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9" borderId="8" xfId="0" applyNumberFormat="1" applyFont="1" applyFill="1" applyBorder="1" applyAlignment="1">
      <x:alignment vertical="top" wrapText="1"/>
    </x:xf>
    <x:xf numFmtId="0" fontId="0" fillId="9" borderId="8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7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7" borderId="7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11" borderId="3" xfId="0" applyNumberFormat="1" applyFont="1" applyFill="1" applyBorder="1" applyAlignment="1">
      <x:alignment horizontal="center" vertical="center" wrapText="1"/>
    </x:xf>
    <x:xf numFmtId="0" fontId="1" fillId="11" borderId="4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/>
    <x:xf numFmtId="0" fontId="3" fillId="9" borderId="3" xfId="0" applyNumberFormat="1" applyFont="1" applyFill="1" applyBorder="1"/>
    <x:xf numFmtId="0" fontId="3" fillId="9" borderId="5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5" fillId="4" borderId="1" xfId="0" applyNumberFormat="1" applyFont="1" applyFill="1" applyBorder="1" applyAlignment="1">
      <x:alignment horizontal="left"/>
    </x:xf>
    <x:xf numFmtId="0" fontId="7" fillId="0" borderId="2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7" borderId="1" xfId="0" applyNumberFormat="1" applyFont="1" applyFill="1" applyBorder="1" applyAlignment="1">
      <x:alignment horizontal="left"/>
    </x:xf>
    <x:xf numFmtId="0" fontId="8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horizontal="center" wrapText="1"/>
    </x:xf>
    <x:xf numFmtId="0" fontId="8" fillId="0" borderId="3" xfId="0" applyNumberFormat="1" applyFont="1" applyFill="1" applyBorder="1"/>
    <x:xf numFmtId="0" fontId="9" fillId="0" borderId="4" xfId="0" applyNumberFormat="1" applyFont="1" applyFill="1" applyBorder="1" applyAlignment="1">
      <x:alignment horizontal="center"/>
    </x:xf>
    <x:xf numFmtId="0" fontId="7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/>
    <x:xf numFmtId="0" fontId="9" fillId="0" borderId="6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 applyAlignment="1">
      <x:alignment wrapText="1"/>
    </x:xf>
    <x:xf numFmtId="200" fontId="7" fillId="5" borderId="4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200" fontId="7" fillId="5" borderId="6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7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6" fillId="9" borderId="5" xfId="0" applyNumberFormat="1" applyFont="1" applyFill="1" applyBorder="1" applyAlignment="1">
      <x:alignment vertical="center" wrapText="1"/>
    </x:xf>
    <x:xf numFmtId="0" fontId="6" fillId="9" borderId="8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8" fillId="10" borderId="1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8" fillId="10" borderId="3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10" borderId="5" xfId="0" applyNumberFormat="1" applyFont="1" applyFill="1" applyBorder="1"/>
    <x:xf numFmtId="0" fontId="7" fillId="0" borderId="8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left" vertical="center"/>
    </x:xf>
    <x:xf numFmtId="0" fontId="7" fillId="0" borderId="2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left" vertical="center"/>
    </x:xf>
    <x:xf numFmtId="0" fontId="5" fillId="7" borderId="1" xfId="0" applyNumberFormat="1" applyFont="1" applyFill="1" applyBorder="1" applyAlignment="1">
      <x:alignment horizontal="left" vertical="center"/>
    </x:xf>
    <x:xf numFmtId="0" fontId="8" fillId="5" borderId="3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horizontal="center" vertical="center"/>
    </x:xf>
    <x:xf numFmtId="0" fontId="7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horizontal="center" vertical="center"/>
    </x:xf>
    <x:xf numFmtId="0" fontId="7" fillId="0" borderId="6" xfId="0" applyNumberFormat="1" applyFont="1" applyFill="1" applyBorder="1" applyAlignment="1">
      <x:alignment vertical="center" wrapText="1"/>
    </x:xf>
    <x:xf numFmtId="200" fontId="7" fillId="5" borderId="4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200" fontId="7" fillId="5" borderId="6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8" fillId="10" borderId="1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8" fillId="10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8" fillId="10" borderId="5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202" fontId="7" fillId="0" borderId="0" xfId="0" applyNumberFormat="1" applyFont="1" applyFill="1" applyBorder="1" applyAlignment="1">
      <x:alignment vertical="top" wrapText="1"/>
    </x:xf>
    <x:xf numFmtId="202" fontId="7" fillId="9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203" fontId="7" fillId="0" borderId="0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201" fontId="7" fillId="0" borderId="8" xfId="0" applyNumberFormat="1" applyFont="1" applyFill="1" applyBorder="1" applyAlignment="1">
      <x:alignment vertical="top" wrapText="1"/>
    </x:xf>
    <x:xf numFmtId="202" fontId="7" fillId="0" borderId="8" xfId="0" applyNumberFormat="1" applyFont="1" applyFill="1" applyBorder="1" applyAlignment="1">
      <x:alignment vertical="top" wrapText="1"/>
    </x:xf>
    <x:xf numFmtId="202" fontId="7" fillId="9" borderId="8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203" fontId="7" fillId="0" borderId="8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2" fontId="7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 wrapText="1"/>
    </x:xf>
    <x:xf numFmtId="202" fontId="7" fillId="0" borderId="8" xfId="0" applyNumberFormat="1" applyFont="1" applyFill="1" applyBorder="1" applyAlignment="1">
      <x:alignment vertical="center" wrapText="1"/>
    </x:xf>
    <x:xf numFmtId="202" fontId="7" fillId="9" borderId="8" xfId="0" applyNumberFormat="1" applyFont="1" applyFill="1" applyBorder="1" applyAlignment="1">
      <x:alignment vertical="center" wrapText="1"/>
    </x:xf>
    <x:xf numFmtId="0" fontId="7" fillId="9" borderId="8" xfId="0" applyNumberFormat="1" applyFont="1" applyFill="1" applyBorder="1" applyAlignment="1">
      <x:alignment vertical="center" wrapText="1"/>
    </x:xf>
    <x:xf numFmtId="203" fontId="7" fillId="0" borderId="8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/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vertical="center"/>
    </x:xf>
    <x:xf numFmtId="0" fontId="8" fillId="9" borderId="3" xfId="0" applyNumberFormat="1" applyFont="1" applyFill="1" applyBorder="1"/>
    <x:xf numFmtId="0" fontId="8" fillId="9" borderId="5" xfId="0" applyNumberFormat="1" applyFont="1" applyFill="1" applyBorder="1"/>
    <x:xf numFmtId="0" fontId="8" fillId="9" borderId="3" xfId="0" applyNumberFormat="1" applyFont="1" applyFill="1" applyBorder="1" applyAlignment="1">
      <x:alignment vertical="center"/>
    </x:xf>
    <x:xf numFmtId="0" fontId="8" fillId="9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16A34A"/>
      </x:font>
      <x:fill>
        <x:patternFill patternType="solid">
          <x:bgColor rgb="FFECFDF3"/>
        </x:patternFill>
      </x:fill>
    </x:dxf>
    <x:dxf>
      <x:font>
        <x:b/>
        <x:color rgb="FFD97706"/>
      </x:font>
      <x:fill>
        <x:patternFill patternType="solid">
          <x:bgColor rgb="FFFFF7E6"/>
        </x:patternFill>
      </x:fill>
    </x:dxf>
    <x:dxf>
      <x:font>
        <x:b/>
        <x:color rgb="FFDC2626"/>
      </x:font>
      <x:fill>
        <x:patternFill patternType="solid">
          <x:bgColor rgb="FFFEECEC"/>
        </x:patternFill>
      </x:fill>
    </x:dxf>
    <x:dxf>
      <x:font>
        <x:b/>
        <x:color rgb="FF16A34A"/>
      </x:font>
      <x:fill>
        <x:patternFill patternType="solid">
          <x:bgColor rgb="FFECFDF3"/>
        </x:patternFill>
      </x:fill>
    </x:dxf>
    <x:dxf>
      <x:font>
        <x:b/>
        <x:color rgb="FFD97706"/>
      </x:font>
      <x:fill>
        <x:patternFill patternType="solid">
          <x:bgColor rgb="FFFFF7E6"/>
        </x:patternFill>
      </x:fill>
    </x:dxf>
    <x:dxf>
      <x:font>
        <x:color rgb="FFDC2626"/>
      </x:font>
      <x:fill>
        <x:patternFill patternType="solid">
          <x:bgColor rgb="FFFE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649cc084346c7" /><Relationship Type="http://schemas.openxmlformats.org/officeDocument/2006/relationships/theme" Target="/xl/theme/theme1.xml" Id="R9eb4fcb7557549d5" /><Relationship Type="http://schemas.openxmlformats.org/officeDocument/2006/relationships/sharedStrings" Target="/xl/sharedStrings.xml" Id="Red7dd1f7d88f4481" /><Relationship Type="http://schemas.openxmlformats.org/officeDocument/2006/relationships/worksheet" Target="/xl/worksheets/sheet1.xml" Id="R1813667627be44a9" /><Relationship Type="http://schemas.openxmlformats.org/officeDocument/2006/relationships/worksheet" Target="/xl/worksheets/sheet2.xml" Id="R59786978a5c14d4f" /><Relationship Type="http://schemas.openxmlformats.org/officeDocument/2006/relationships/worksheet" Target="/xl/worksheets/sheet3.xml" Id="R92c1010792c54765" /><Relationship Type="http://schemas.openxmlformats.org/officeDocument/2006/relationships/worksheet" Target="/xl/worksheets/sheet4.xml" Id="R4316495c9d45434b" /></Relationships>
</file>

<file path=xl/tables/table1.xml><?xml version="1.0" encoding="utf-8"?>
<x:table xmlns:x="http://schemas.openxmlformats.org/spreadsheetml/2006/main" id="1" name="JobScreeningTable" displayName="JobScreeningTable" ref="A5:Y205" headerRowCount="1">
  <x:autoFilter ref="A5:Y205"/>
  <x:tableColumns count="25">
    <x:tableColumn id="1" name="公司"/>
    <x:tableColumn id="2" name="岗位名"/>
    <x:tableColumn id="3" name="地点"/>
    <x:tableColumn id="4" name="通勤时间"/>
    <x:tableColumn id="5" name="base范围"/>
    <x:tableColumn id="6" name="总包"/>
    <x:tableColumn id="7" name="岗位类型"/>
    <x:tableColumn id="8" name="AI相关度"/>
    <x:tableColumn id="9" name="架构相关度"/>
    <x:tableColumn id="10" name="业务含金量"/>
    <x:tableColumn id="11" name="面试概率"/>
    <x:tableColumn id="12" name="风险备注"/>
    <x:tableColumn id="13" name="下一步动作"/>
    <x:tableColumn id="14" name="base下限k"/>
    <x:tableColumn id="15" name="薪资分"/>
    <x:tableColumn id="16" name="地点分"/>
    <x:tableColumn id="17" name="AI分"/>
    <x:tableColumn id="18" name="架构分"/>
    <x:tableColumn id="19" name="业务分"/>
    <x:tableColumn id="20" name="总分"/>
    <x:tableColumn id="21" name="投递决策"/>
    <x:tableColumn id="22" name="核验状态"/>
    <x:tableColumn id="23" name="沟通日期"/>
    <x:tableColumn id="24" name="来源链接"/>
    <x:tableColumn id="25" name="备注标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ea25d76f4845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2.220000267028809" hidden="0" customWidth="1"/>
    <x:col min="3" max="3" width="3.109999895095825" hidden="0" customWidth="1"/>
    <x:col min="4" max="4" width="15.5600004196167" hidden="0" customWidth="1"/>
    <x:col min="5" max="5" width="13.329999923706055" hidden="0" customWidth="1"/>
    <x:col min="6" max="6" width="3.109999895095825" hidden="0" customWidth="1"/>
    <x:col min="7" max="7" width="15.5600004196167" hidden="0" customWidth="1"/>
    <x:col min="8" max="8" width="24.440000534057617" hidden="0" customWidth="1"/>
  </x:cols>
  <x:sheetData>
    <x:row r="1" ht="31.5" customHeight="1">
      <x:c r="A1" s="130" t="str">
        <x:v>兴隆湖优先的 35k+ 研发岗位筛选工作台</x:v>
      </x:c>
      <x:c r="B1" s="130" t="str">
        <x:v>兴隆湖优先的 35k+ 研发岗位筛选工作台</x:v>
      </x:c>
      <x:c r="C1" s="130" t="str">
        <x:v>兴隆湖优先的 35k+ 研发岗位筛选工作台</x:v>
      </x:c>
      <x:c r="D1" s="130" t="str">
        <x:v>兴隆湖优先的 35k+ 研发岗位筛选工作台</x:v>
      </x:c>
      <x:c r="E1" s="130" t="str">
        <x:v>兴隆湖优先的 35k+ 研发岗位筛选工作台</x:v>
      </x:c>
      <x:c r="F1" s="130" t="str">
        <x:v>兴隆湖优先的 35k+ 研发岗位筛选工作台</x:v>
      </x:c>
      <x:c r="G1" s="130" t="str">
        <x:v>兴隆湖优先的 35k+ 研发岗位筛选工作台</x:v>
      </x:c>
      <x:c r="H1" s="130" t="str">
        <x:v>兴隆湖优先的 35k+ 研发岗位筛选工作台</x:v>
      </x:c>
    </x:row>
    <x:row r="2">
      <x:c r="A2" s="170" t="str">
        <x:v>定位：前端/架构 + AI Agent 工程化；兴隆湖/科学城优先，35k base 税前为硬线，3 个月慢找。</x:v>
      </x:c>
      <x:c r="B2" s="170" t="str"/>
      <x:c r="C2" s="170" t="str"/>
      <x:c r="D2" s="170" t="str"/>
      <x:c r="E2" s="170" t="str"/>
      <x:c r="F2" s="170" t="str"/>
      <x:c r="G2" s="170" t="str"/>
      <x:c r="H2" s="170" t="str"/>
    </x:row>
    <x:row r="3">
      <x:c r="A3" s="171"/>
      <x:c r="B3" s="171"/>
      <x:c r="C3" s="171"/>
      <x:c r="D3" s="171"/>
      <x:c r="E3" s="171"/>
      <x:c r="F3" s="171"/>
      <x:c r="G3" s="171"/>
      <x:c r="H3" s="171"/>
    </x:row>
    <x:row r="4">
      <x:c r="A4" s="172" t="str">
        <x:v>核心指标</x:v>
      </x:c>
      <x:c r="B4" s="173"/>
      <x:c r="C4" s="171"/>
      <x:c r="D4" s="174" t="str">
        <x:v>三个月目标</x:v>
      </x:c>
      <x:c r="E4" s="173"/>
      <x:c r="F4" s="171"/>
      <x:c r="G4" s="175" t="str">
        <x:v>周节奏</x:v>
      </x:c>
      <x:c r="H4" s="173"/>
    </x:row>
    <x:row r="5">
      <x:c r="A5" s="176" t="str">
        <x:v>已录入岗位</x:v>
      </x:c>
      <x:c r="B5" s="177" t="n">
        <x:f>COUNTA('岗位表'!$A$6:$A$205)</x:f>
        <x:v>0</x:v>
      </x:c>
      <x:c r="C5" s="171"/>
      <x:c r="D5" s="178" t="str">
        <x:v>筛选岗位</x:v>
      </x:c>
      <x:c r="E5" s="179" t="n">
        <x:v>150</x:v>
      </x:c>
      <x:c r="F5" s="171"/>
      <x:c r="G5" s="178" t="str">
        <x:v>周一</x:v>
      </x:c>
      <x:c r="H5" s="180" t="str">
        <x:v>筛 30 分钟</x:v>
      </x:c>
    </x:row>
    <x:row r="6">
      <x:c r="A6" s="176" t="str">
        <x:v>优先约聊</x:v>
      </x:c>
      <x:c r="B6" s="177" t="n">
        <x:f>COUNTIF('岗位表'!$U$6:$U$205,"优先约聊")</x:f>
        <x:v>0</x:v>
      </x:c>
      <x:c r="C6" s="171"/>
      <x:c r="D6" s="178" t="str">
        <x:v>有效沟通</x:v>
      </x:c>
      <x:c r="E6" s="179" t="n">
        <x:v>30</x:v>
      </x:c>
      <x:c r="F6" s="171"/>
      <x:c r="G6" s="178" t="str">
        <x:v>周三</x:v>
      </x:c>
      <x:c r="H6" s="180" t="str">
        <x:v>筛 30 分钟</x:v>
      </x:c>
    </x:row>
    <x:row r="7">
      <x:c r="A7" s="176" t="str">
        <x:v>备选</x:v>
      </x:c>
      <x:c r="B7" s="177" t="n">
        <x:f>COUNTIF('岗位表'!$U$6:$U$205,"备选")</x:f>
        <x:v>0</x:v>
      </x:c>
      <x:c r="C7" s="171"/>
      <x:c r="D7" s="178" t="str">
        <x:v>面试</x:v>
      </x:c>
      <x:c r="E7" s="179" t="str">
        <x:v>8-12</x:v>
      </x:c>
      <x:c r="F7" s="171"/>
      <x:c r="G7" s="178" t="str">
        <x:v>周五</x:v>
      </x:c>
      <x:c r="H7" s="180" t="str">
        <x:v>筛 30 分钟</x:v>
      </x:c>
    </x:row>
    <x:row r="8">
      <x:c r="A8" s="176" t="str">
        <x:v>不投</x:v>
      </x:c>
      <x:c r="B8" s="177" t="n">
        <x:f>COUNTIF('岗位表'!$U$6:$U$205,"不投")</x:f>
        <x:v>0</x:v>
      </x:c>
      <x:c r="C8" s="171"/>
      <x:c r="D8" s="178" t="str">
        <x:v>目标 offer</x:v>
      </x:c>
      <x:c r="E8" s="179" t="str">
        <x:v>1-2</x:v>
      </x:c>
      <x:c r="F8" s="171"/>
      <x:c r="G8" s="178" t="str">
        <x:v>每周投递</x:v>
      </x:c>
      <x:c r="H8" s="180" t="str">
        <x:v>8-12 个高匹配</x:v>
      </x:c>
    </x:row>
    <x:row r="9">
      <x:c r="A9" s="176" t="str">
        <x:v>85+ 且 base&gt;=35</x:v>
      </x:c>
      <x:c r="B9" s="177" t="n">
        <x:f>COUNTIFS('岗位表'!$T$6:$T$205,"&gt;=85",'岗位表'!$N$6:$N$205,"&gt;=35")</x:f>
        <x:v>0</x:v>
      </x:c>
      <x:c r="C9" s="171"/>
      <x:c r="D9" s="181" t="str">
        <x:v>底薪硬线</x:v>
      </x:c>
      <x:c r="E9" s="182" t="str">
        <x:v>35k base</x:v>
      </x:c>
      <x:c r="F9" s="171"/>
      <x:c r="G9" s="181" t="str">
        <x:v>扩展条件</x:v>
      </x:c>
      <x:c r="H9" s="183" t="str">
        <x:v>一周少于 5 个合格岗位</x:v>
      </x:c>
    </x:row>
    <x:row r="10">
      <x:c r="A10" s="176" t="str">
        <x:v>可面试沟通数</x:v>
      </x:c>
      <x:c r="B10" s="177" t="n">
        <x:f>COUNTIF('岗位表'!$V$6:$V$205,"可面试")</x:f>
        <x:v>0</x:v>
      </x:c>
      <x:c r="C10" s="171"/>
      <x:c r="D10" s="171"/>
      <x:c r="E10" s="171"/>
      <x:c r="F10" s="171"/>
      <x:c r="G10" s="171"/>
      <x:c r="H10" s="171"/>
    </x:row>
    <x:row r="11">
      <x:c r="A11" s="176" t="str">
        <x:v>岗位筛选进度</x:v>
      </x:c>
      <x:c r="B11" s="184" t="n">
        <x:f>IFERROR(B5/150,0)</x:f>
        <x:v>0</x:v>
      </x:c>
      <x:c r="C11" s="171"/>
      <x:c r="D11" s="171"/>
      <x:c r="E11" s="171"/>
      <x:c r="F11" s="171"/>
      <x:c r="G11" s="171"/>
      <x:c r="H11" s="171"/>
    </x:row>
    <x:row r="12">
      <x:c r="A12" s="185" t="str">
        <x:v>有效沟通进度</x:v>
      </x:c>
      <x:c r="B12" s="186" t="n">
        <x:f>IFERROR(B10/30,0)</x:f>
        <x:v>0</x:v>
      </x:c>
      <x:c r="C12" s="171"/>
      <x:c r="D12" s="171"/>
      <x:c r="E12" s="171"/>
      <x:c r="F12" s="171"/>
      <x:c r="G12" s="171"/>
      <x:c r="H12" s="171"/>
    </x:row>
    <x:row r="13">
      <x:c r="A13" s="171"/>
      <x:c r="B13" s="171"/>
      <x:c r="C13" s="171"/>
      <x:c r="D13" s="171"/>
      <x:c r="E13" s="171"/>
      <x:c r="F13" s="171"/>
      <x:c r="G13" s="171"/>
      <x:c r="H13" s="171"/>
    </x:row>
    <x:row r="14">
      <x:c r="A14" s="171"/>
      <x:c r="B14" s="171"/>
      <x:c r="C14" s="171"/>
      <x:c r="D14" s="148" t="str">
        <x:v>这里预留为投递决策分布区；A15:B19 会随岗位表自动统计。若导入 Google Sheets 或 Excel 后需要图表，可直接基于 A15:B19 插入条形图。</x:v>
      </x:c>
      <x:c r="E14" s="149" t="str">
        <x:v>这里预留为投递决策分布区；A15:B19 会随岗位表自动统计。若导入 Google Sheets 或 Excel 后需要图表，可直接基于 A15:B19 插入条形图。</x:v>
      </x:c>
      <x:c r="F14" s="149" t="str">
        <x:v>这里预留为投递决策分布区；A15:B19 会随岗位表自动统计。若导入 Google Sheets 或 Excel 后需要图表，可直接基于 A15:B19 插入条形图。</x:v>
      </x:c>
      <x:c r="G14" s="149" t="str">
        <x:v>这里预留为投递决策分布区；A15:B19 会随岗位表自动统计。若导入 Google Sheets 或 Excel 后需要图表，可直接基于 A15:B19 插入条形图。</x:v>
      </x:c>
      <x:c r="H14" s="150" t="str">
        <x:v>这里预留为投递决策分布区；A15:B19 会随岗位表自动统计。若导入 Google Sheets 或 Excel 后需要图表，可直接基于 A15:B19 插入条形图。</x:v>
      </x:c>
    </x:row>
    <x:row r="15">
      <x:c r="A15" s="151" t="str">
        <x:v>决策</x:v>
      </x:c>
      <x:c r="B15" s="152" t="str">
        <x:v>数量</x:v>
      </x:c>
      <x:c r="C15" s="171"/>
      <x:c r="D15" s="153" t="str">
        <x:v>这里预留为投递决策分布区；A15:B19 会随岗位表自动统计。若导入 Google Sheets 或 Excel 后需要图表，可直接基于 A15:B19 插入条形图。</x:v>
      </x:c>
      <x:c r="E15" s="154" t="str">
        <x:v>这里预留为投递决策分布区；A15:B19 会随岗位表自动统计。若导入 Google Sheets 或 Excel 后需要图表，可直接基于 A15:B19 插入条形图。</x:v>
      </x:c>
      <x:c r="F15" s="154" t="str">
        <x:v>这里预留为投递决策分布区；A15:B19 会随岗位表自动统计。若导入 Google Sheets 或 Excel 后需要图表，可直接基于 A15:B19 插入条形图。</x:v>
      </x:c>
      <x:c r="G15" s="154" t="str">
        <x:v>这里预留为投递决策分布区；A15:B19 会随岗位表自动统计。若导入 Google Sheets 或 Excel 后需要图表，可直接基于 A15:B19 插入条形图。</x:v>
      </x:c>
      <x:c r="H15" s="155" t="str">
        <x:v>这里预留为投递决策分布区；A15:B19 会随岗位表自动统计。若导入 Google Sheets 或 Excel 后需要图表，可直接基于 A15:B19 插入条形图。</x:v>
      </x:c>
    </x:row>
    <x:row r="16">
      <x:c r="A16" s="187" t="str">
        <x:v>优先约聊</x:v>
      </x:c>
      <x:c r="B16" s="188" t="n">
        <x:f>COUNTIF('岗位表'!$U$6:$U$205,A16)</x:f>
        <x:v>0</x:v>
      </x:c>
      <x:c r="C16" s="171"/>
      <x:c r="D16" s="153" t="str">
        <x:v>这里预留为投递决策分布区；A15:B19 会随岗位表自动统计。若导入 Google Sheets 或 Excel 后需要图表，可直接基于 A15:B19 插入条形图。</x:v>
      </x:c>
      <x:c r="E16" s="154" t="str">
        <x:v>这里预留为投递决策分布区；A15:B19 会随岗位表自动统计。若导入 Google Sheets 或 Excel 后需要图表，可直接基于 A15:B19 插入条形图。</x:v>
      </x:c>
      <x:c r="F16" s="154" t="str">
        <x:v>这里预留为投递决策分布区；A15:B19 会随岗位表自动统计。若导入 Google Sheets 或 Excel 后需要图表，可直接基于 A15:B19 插入条形图。</x:v>
      </x:c>
      <x:c r="G16" s="154" t="str">
        <x:v>这里预留为投递决策分布区；A15:B19 会随岗位表自动统计。若导入 Google Sheets 或 Excel 后需要图表，可直接基于 A15:B19 插入条形图。</x:v>
      </x:c>
      <x:c r="H16" s="155" t="str">
        <x:v>这里预留为投递决策分布区；A15:B19 会随岗位表自动统计。若导入 Google Sheets 或 Excel 后需要图表，可直接基于 A15:B19 插入条形图。</x:v>
      </x:c>
    </x:row>
    <x:row r="17">
      <x:c r="A17" s="187" t="str">
        <x:v>备选</x:v>
      </x:c>
      <x:c r="B17" s="188" t="n">
        <x:f>COUNTIF('岗位表'!$U$6:$U$205,A17)</x:f>
        <x:v>0</x:v>
      </x:c>
      <x:c r="C17" s="171"/>
      <x:c r="D17" s="153" t="str">
        <x:v>这里预留为投递决策分布区；A15:B19 会随岗位表自动统计。若导入 Google Sheets 或 Excel 后需要图表，可直接基于 A15:B19 插入条形图。</x:v>
      </x:c>
      <x:c r="E17" s="154" t="str">
        <x:v>这里预留为投递决策分布区；A15:B19 会随岗位表自动统计。若导入 Google Sheets 或 Excel 后需要图表，可直接基于 A15:B19 插入条形图。</x:v>
      </x:c>
      <x:c r="F17" s="154" t="str">
        <x:v>这里预留为投递决策分布区；A15:B19 会随岗位表自动统计。若导入 Google Sheets 或 Excel 后需要图表，可直接基于 A15:B19 插入条形图。</x:v>
      </x:c>
      <x:c r="G17" s="154" t="str">
        <x:v>这里预留为投递决策分布区；A15:B19 会随岗位表自动统计。若导入 Google Sheets 或 Excel 后需要图表，可直接基于 A15:B19 插入条形图。</x:v>
      </x:c>
      <x:c r="H17" s="155" t="str">
        <x:v>这里预留为投递决策分布区；A15:B19 会随岗位表自动统计。若导入 Google Sheets 或 Excel 后需要图表，可直接基于 A15:B19 插入条形图。</x:v>
      </x:c>
    </x:row>
    <x:row r="18">
      <x:c r="A18" s="187" t="str">
        <x:v>不投</x:v>
      </x:c>
      <x:c r="B18" s="188" t="n">
        <x:f>COUNTIF('岗位表'!$U$6:$U$205,A18)</x:f>
        <x:v>0</x:v>
      </x:c>
      <x:c r="C18" s="171"/>
      <x:c r="D18" s="153" t="str">
        <x:v>这里预留为投递决策分布区；A15:B19 会随岗位表自动统计。若导入 Google Sheets 或 Excel 后需要图表，可直接基于 A15:B19 插入条形图。</x:v>
      </x:c>
      <x:c r="E18" s="154" t="str">
        <x:v>这里预留为投递决策分布区；A15:B19 会随岗位表自动统计。若导入 Google Sheets 或 Excel 后需要图表，可直接基于 A15:B19 插入条形图。</x:v>
      </x:c>
      <x:c r="F18" s="154" t="str">
        <x:v>这里预留为投递决策分布区；A15:B19 会随岗位表自动统计。若导入 Google Sheets 或 Excel 后需要图表，可直接基于 A15:B19 插入条形图。</x:v>
      </x:c>
      <x:c r="G18" s="154" t="str">
        <x:v>这里预留为投递决策分布区；A15:B19 会随岗位表自动统计。若导入 Google Sheets 或 Excel 后需要图表，可直接基于 A15:B19 插入条形图。</x:v>
      </x:c>
      <x:c r="H18" s="155" t="str">
        <x:v>这里预留为投递决策分布区；A15:B19 会随岗位表自动统计。若导入 Google Sheets 或 Excel 后需要图表，可直接基于 A15:B19 插入条形图。</x:v>
      </x:c>
    </x:row>
    <x:row r="19">
      <x:c r="A19" s="189" t="str">
        <x:v>待补base</x:v>
      </x:c>
      <x:c r="B19" s="190" t="n">
        <x:f>COUNTIF('岗位表'!$U$6:$U$205,A19)</x:f>
        <x:v>0</x:v>
      </x:c>
      <x:c r="C19" s="171"/>
      <x:c r="D19" s="160" t="str">
        <x:v>这里预留为投递决策分布区；A15:B19 会随岗位表自动统计。若导入 Google Sheets 或 Excel 后需要图表，可直接基于 A15:B19 插入条形图。</x:v>
      </x:c>
      <x:c r="E19" s="161" t="str">
        <x:v>这里预留为投递决策分布区；A15:B19 会随岗位表自动统计。若导入 Google Sheets 或 Excel 后需要图表，可直接基于 A15:B19 插入条形图。</x:v>
      </x:c>
      <x:c r="F19" s="161" t="str">
        <x:v>这里预留为投递决策分布区；A15:B19 会随岗位表自动统计。若导入 Google Sheets 或 Excel 后需要图表，可直接基于 A15:B19 插入条形图。</x:v>
      </x:c>
      <x:c r="G19" s="161" t="str">
        <x:v>这里预留为投递决策分布区；A15:B19 会随岗位表自动统计。若导入 Google Sheets 或 Excel 后需要图表，可直接基于 A15:B19 插入条形图。</x:v>
      </x:c>
      <x:c r="H19" s="162" t="str">
        <x:v>这里预留为投递决策分布区；A15:B19 会随岗位表自动统计。若导入 Google Sheets 或 Excel 后需要图表，可直接基于 A15:B19 插入条形图。</x:v>
      </x:c>
    </x:row>
    <x:row r="20">
      <x:c r="A20" s="171"/>
      <x:c r="B20" s="171"/>
      <x:c r="C20" s="171"/>
      <x:c r="D20" s="171"/>
      <x:c r="E20" s="171"/>
      <x:c r="F20" s="171"/>
      <x:c r="G20" s="171"/>
      <x:c r="H20" s="171"/>
    </x:row>
    <x:row r="21">
      <x:c r="A21" s="171"/>
      <x:c r="B21" s="171"/>
      <x:c r="C21" s="171"/>
      <x:c r="D21" s="171"/>
      <x:c r="E21" s="171"/>
      <x:c r="F21" s="171"/>
      <x:c r="G21" s="171"/>
      <x:c r="H21" s="171"/>
    </x:row>
    <x:row r="22">
      <x:c r="A22" s="191" t="str">
        <x:v>第一优先级</x:v>
      </x:c>
      <x:c r="B22" s="192" t="str">
        <x:v>AI Agent 应用工程师 / 大模型应用开发 / AI 平台前端全栈 / 前端架构师 + AI 产品</x:v>
      </x:c>
      <x:c r="C22" s="192" t="str"/>
      <x:c r="D22" s="192" t="str"/>
      <x:c r="E22" s="192" t="str"/>
      <x:c r="F22" s="192" t="str"/>
      <x:c r="G22" s="192" t="str"/>
      <x:c r="H22" s="193" t="str"/>
    </x:row>
    <x:row r="23">
      <x:c r="A23" s="194" t="str">
        <x:v>第二优先级</x:v>
      </x:c>
      <x:c r="B23" s="195" t="str">
        <x:v>高级前端 / 前端架构师，但必须有平台化、工程化、复杂系统或智能产品场景</x:v>
      </x:c>
      <x:c r="C23" s="195" t="str"/>
      <x:c r="D23" s="195" t="str"/>
      <x:c r="E23" s="195" t="str"/>
      <x:c r="F23" s="195" t="str"/>
      <x:c r="G23" s="195" t="str"/>
      <x:c r="H23" s="180" t="str"/>
    </x:row>
    <x:row r="24">
      <x:c r="A24" s="194" t="str">
        <x:v>暂不投入</x:v>
      </x:c>
      <x:c r="B24" s="195" t="str">
        <x:v>纯算法训练、低薪外包、政企驻场交付、普通页面前端、低于 35k 且总包不清晰</x:v>
      </x:c>
      <x:c r="C24" s="195" t="str"/>
      <x:c r="D24" s="195" t="str"/>
      <x:c r="E24" s="195" t="str"/>
      <x:c r="F24" s="195" t="str"/>
      <x:c r="G24" s="195" t="str"/>
      <x:c r="H24" s="180" t="str"/>
    </x:row>
    <x:row r="25">
      <x:c r="A25" s="196" t="str">
        <x:v>地理漏斗</x:v>
      </x:c>
      <x:c r="B25" s="197" t="str">
        <x:v>兴隆湖/科学城/天府新区；不足时扩展新川、天府软件园、高新南区、金融城</x:v>
      </x:c>
      <x:c r="C25" s="197" t="str"/>
      <x:c r="D25" s="197" t="str"/>
      <x:c r="E25" s="197" t="str"/>
      <x:c r="F25" s="197" t="str"/>
      <x:c r="G25" s="197" t="str"/>
      <x:c r="H25" s="183" t="str"/>
    </x:row>
  </x:sheetData>
  <x:mergeCells>
    <x:mergeCell ref="A1:H1"/>
    <x:mergeCell ref="A2:H2"/>
    <x:mergeCell ref="D14:H19"/>
    <x:mergeCell ref="B22:H22"/>
    <x:mergeCell ref="B23:H23"/>
    <x:mergeCell ref="B24:H24"/>
    <x:mergeCell ref="B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24.440000534057617" hidden="0" customWidth="1"/>
    <x:col min="3" max="3" width="18.889999389648438" hidden="0" customWidth="1"/>
    <x:col min="4" max="4" width="9.109999656677246" hidden="0" customWidth="1"/>
    <x:col min="5" max="5" width="13.329999923706055" hidden="0" customWidth="1"/>
    <x:col min="6" max="6" width="13.329999923706055" hidden="0" customWidth="1"/>
    <x:col min="7" max="7" width="20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9.109999656677246" hidden="0" customWidth="1"/>
    <x:col min="12" max="12" width="24.440000534057617" hidden="0" customWidth="1"/>
    <x:col min="13" max="13" width="20" hidden="0" customWidth="1"/>
    <x:col min="14" max="14" width="9.5600004196167" hidden="0" customWidth="1"/>
    <x:col min="15" max="15" width="8.4399995803833" hidden="0" customWidth="1"/>
    <x:col min="16" max="16" width="8.4399995803833" hidden="0" customWidth="1"/>
    <x:col min="17" max="17" width="8.4399995803833" hidden="0" customWidth="1"/>
    <x:col min="18" max="18" width="8.4399995803833" hidden="0" customWidth="1"/>
    <x:col min="19" max="19" width="8.4399995803833" hidden="0" customWidth="1"/>
    <x:col min="20" max="20" width="8.4399995803833" hidden="0" customWidth="1"/>
    <x:col min="21" max="21" width="11.109999656677246" hidden="0" customWidth="1"/>
    <x:col min="22" max="22" width="11.670000076293945" hidden="0" customWidth="1"/>
    <x:col min="23" max="23" width="11.670000076293945" hidden="0" customWidth="1"/>
    <x:col min="24" max="24" width="24.440000534057617" hidden="0" customWidth="1"/>
    <x:col min="25" max="25" width="16.670000076293945" hidden="0" customWidth="1"/>
  </x:cols>
  <x:sheetData>
    <x:row r="1" ht="31.5" customHeight="1">
      <x:c r="A1" s="130" t="str">
        <x:v>岗位表</x:v>
      </x:c>
      <x:c r="B1" s="130" t="str">
        <x:v>岗位表</x:v>
      </x:c>
      <x:c r="C1" s="130" t="str">
        <x:v>岗位表</x:v>
      </x:c>
      <x:c r="D1" s="130" t="str">
        <x:v>岗位表</x:v>
      </x:c>
      <x:c r="E1" s="130" t="str">
        <x:v>岗位表</x:v>
      </x:c>
      <x:c r="F1" s="130" t="str">
        <x:v>岗位表</x:v>
      </x:c>
      <x:c r="G1" s="130" t="str">
        <x:v>岗位表</x:v>
      </x:c>
      <x:c r="H1" s="130" t="str">
        <x:v>岗位表</x:v>
      </x:c>
      <x:c r="I1" s="130" t="str">
        <x:v>岗位表</x:v>
      </x:c>
      <x:c r="J1" s="130" t="str">
        <x:v>岗位表</x:v>
      </x:c>
      <x:c r="K1" s="130" t="str">
        <x:v>岗位表</x:v>
      </x:c>
      <x:c r="L1" s="130" t="str">
        <x:v>岗位表</x:v>
      </x:c>
      <x:c r="M1" s="130" t="str">
        <x:v>岗位表</x:v>
      </x:c>
      <x:c r="N1" s="130" t="str">
        <x:v>岗位表</x:v>
      </x:c>
      <x:c r="O1" s="130" t="str">
        <x:v>岗位表</x:v>
      </x:c>
      <x:c r="P1" s="130" t="str">
        <x:v>岗位表</x:v>
      </x:c>
      <x:c r="Q1" s="130" t="str">
        <x:v>岗位表</x:v>
      </x:c>
      <x:c r="R1" s="130" t="str">
        <x:v>岗位表</x:v>
      </x:c>
      <x:c r="S1" s="130" t="str">
        <x:v>岗位表</x:v>
      </x:c>
      <x:c r="T1" s="130" t="str">
        <x:v>岗位表</x:v>
      </x:c>
      <x:c r="U1" s="130" t="str">
        <x:v>岗位表</x:v>
      </x:c>
      <x:c r="V1" s="130" t="str">
        <x:v>岗位表</x:v>
      </x:c>
      <x:c r="W1" s="130" t="str">
        <x:v>岗位表</x:v>
      </x:c>
      <x:c r="X1" s="130" t="str">
        <x:v>岗位表</x:v>
      </x:c>
      <x:c r="Y1" s="130" t="str">
        <x:v>岗位表</x:v>
      </x:c>
    </x:row>
    <x:row r="2">
      <x:c r="A2" s="170" t="str">
        <x:v>前 13 列为固定记录字段；N 列填 base 下限(k)，O-U 自动计算评分与决策。D 列建议填通勤分钟数，K 列填 0-100。</x:v>
      </x:c>
      <x:c r="B2" s="170" t="str">
        <x:v>前 13 列为固定记录字段；N 列填 base 下限(k)，O-U 自动计算评分与决策。D 列建议填通勤分钟数，K 列填 0-100。</x:v>
      </x:c>
      <x:c r="C2" s="170" t="str">
        <x:v>前 13 列为固定记录字段；N 列填 base 下限(k)，O-U 自动计算评分与决策。D 列建议填通勤分钟数，K 列填 0-100。</x:v>
      </x:c>
      <x:c r="D2" s="170" t="str">
        <x:v>前 13 列为固定记录字段；N 列填 base 下限(k)，O-U 自动计算评分与决策。D 列建议填通勤分钟数，K 列填 0-100。</x:v>
      </x:c>
      <x:c r="E2" s="170" t="str">
        <x:v>前 13 列为固定记录字段；N 列填 base 下限(k)，O-U 自动计算评分与决策。D 列建议填通勤分钟数，K 列填 0-100。</x:v>
      </x:c>
      <x:c r="F2" s="170" t="str">
        <x:v>前 13 列为固定记录字段；N 列填 base 下限(k)，O-U 自动计算评分与决策。D 列建议填通勤分钟数，K 列填 0-100。</x:v>
      </x:c>
      <x:c r="G2" s="170" t="str">
        <x:v>前 13 列为固定记录字段；N 列填 base 下限(k)，O-U 自动计算评分与决策。D 列建议填通勤分钟数，K 列填 0-100。</x:v>
      </x:c>
      <x:c r="H2" s="170" t="str">
        <x:v>前 13 列为固定记录字段；N 列填 base 下限(k)，O-U 自动计算评分与决策。D 列建议填通勤分钟数，K 列填 0-100。</x:v>
      </x:c>
      <x:c r="I2" s="170" t="str">
        <x:v>前 13 列为固定记录字段；N 列填 base 下限(k)，O-U 自动计算评分与决策。D 列建议填通勤分钟数，K 列填 0-100。</x:v>
      </x:c>
      <x:c r="J2" s="170" t="str">
        <x:v>前 13 列为固定记录字段；N 列填 base 下限(k)，O-U 自动计算评分与决策。D 列建议填通勤分钟数，K 列填 0-100。</x:v>
      </x:c>
      <x:c r="K2" s="170" t="str">
        <x:v>前 13 列为固定记录字段；N 列填 base 下限(k)，O-U 自动计算评分与决策。D 列建议填通勤分钟数，K 列填 0-100。</x:v>
      </x:c>
      <x:c r="L2" s="170" t="str">
        <x:v>前 13 列为固定记录字段；N 列填 base 下限(k)，O-U 自动计算评分与决策。D 列建议填通勤分钟数，K 列填 0-100。</x:v>
      </x:c>
      <x:c r="M2" s="170" t="str">
        <x:v>前 13 列为固定记录字段；N 列填 base 下限(k)，O-U 自动计算评分与决策。D 列建议填通勤分钟数，K 列填 0-100。</x:v>
      </x:c>
      <x:c r="N2" s="170" t="str">
        <x:v>前 13 列为固定记录字段；N 列填 base 下限(k)，O-U 自动计算评分与决策。D 列建议填通勤分钟数，K 列填 0-100。</x:v>
      </x:c>
      <x:c r="O2" s="170" t="str">
        <x:v>前 13 列为固定记录字段；N 列填 base 下限(k)，O-U 自动计算评分与决策。D 列建议填通勤分钟数，K 列填 0-100。</x:v>
      </x:c>
      <x:c r="P2" s="170" t="str">
        <x:v>前 13 列为固定记录字段；N 列填 base 下限(k)，O-U 自动计算评分与决策。D 列建议填通勤分钟数，K 列填 0-100。</x:v>
      </x:c>
      <x:c r="Q2" s="170" t="str">
        <x:v>前 13 列为固定记录字段；N 列填 base 下限(k)，O-U 自动计算评分与决策。D 列建议填通勤分钟数，K 列填 0-100。</x:v>
      </x:c>
      <x:c r="R2" s="170" t="str">
        <x:v>前 13 列为固定记录字段；N 列填 base 下限(k)，O-U 自动计算评分与决策。D 列建议填通勤分钟数，K 列填 0-100。</x:v>
      </x:c>
      <x:c r="S2" s="170" t="str">
        <x:v>前 13 列为固定记录字段；N 列填 base 下限(k)，O-U 自动计算评分与决策。D 列建议填通勤分钟数，K 列填 0-100。</x:v>
      </x:c>
      <x:c r="T2" s="170" t="str">
        <x:v>前 13 列为固定记录字段；N 列填 base 下限(k)，O-U 自动计算评分与决策。D 列建议填通勤分钟数，K 列填 0-100。</x:v>
      </x:c>
      <x:c r="U2" s="170" t="str">
        <x:v>前 13 列为固定记录字段；N 列填 base 下限(k)，O-U 自动计算评分与决策。D 列建议填通勤分钟数，K 列填 0-100。</x:v>
      </x:c>
      <x:c r="V2" s="170" t="str">
        <x:v>前 13 列为固定记录字段；N 列填 base 下限(k)，O-U 自动计算评分与决策。D 列建议填通勤分钟数，K 列填 0-100。</x:v>
      </x:c>
      <x:c r="W2" s="170" t="str">
        <x:v>前 13 列为固定记录字段；N 列填 base 下限(k)，O-U 自动计算评分与决策。D 列建议填通勤分钟数，K 列填 0-100。</x:v>
      </x:c>
      <x:c r="X2" s="170" t="str">
        <x:v>前 13 列为固定记录字段；N 列填 base 下限(k)，O-U 自动计算评分与决策。D 列建议填通勤分钟数，K 列填 0-100。</x:v>
      </x:c>
      <x:c r="Y2" s="170" t="str">
        <x:v>前 13 列为固定记录字段；N 列填 base 下限(k)，O-U 自动计算评分与决策。D 列建议填通勤分钟数，K 列填 0-100。</x:v>
      </x:c>
    </x:row>
    <x:row r="3">
      <x:c r="A3" s="171"/>
      <x:c r="B3" s="171"/>
      <x:c r="C3" s="171"/>
      <x:c r="D3" s="171"/>
      <x:c r="E3" s="171"/>
      <x:c r="F3" s="171"/>
      <x:c r="G3" s="171"/>
      <x:c r="H3" s="171"/>
      <x:c r="I3" s="171"/>
      <x:c r="J3" s="171"/>
      <x:c r="K3" s="171"/>
      <x:c r="L3" s="171"/>
      <x:c r="M3" s="171"/>
      <x:c r="N3" s="171"/>
      <x:c r="O3" s="171"/>
      <x:c r="P3" s="171"/>
      <x:c r="Q3" s="171"/>
      <x:c r="R3" s="171"/>
      <x:c r="S3" s="171"/>
      <x:c r="T3" s="171"/>
      <x:c r="U3" s="171"/>
      <x:c r="V3" s="171"/>
      <x:c r="W3" s="171"/>
      <x:c r="X3" s="171"/>
      <x:c r="Y3" s="171"/>
    </x:row>
    <x:row r="4">
      <x:c r="A4" s="198" t="str">
        <x:v>固定字段</x:v>
      </x:c>
      <x:c r="B4" s="198" t="str">
        <x:v>固定字段</x:v>
      </x:c>
      <x:c r="C4" s="198" t="str">
        <x:v>固定字段</x:v>
      </x:c>
      <x:c r="D4" s="198" t="str">
        <x:v>固定字段</x:v>
      </x:c>
      <x:c r="E4" s="198" t="str">
        <x:v>固定字段</x:v>
      </x:c>
      <x:c r="F4" s="198" t="str">
        <x:v>固定字段</x:v>
      </x:c>
      <x:c r="G4" s="198" t="str">
        <x:v>固定字段</x:v>
      </x:c>
      <x:c r="H4" s="198" t="str">
        <x:v>固定字段</x:v>
      </x:c>
      <x:c r="I4" s="198" t="str">
        <x:v>固定字段</x:v>
      </x:c>
      <x:c r="J4" s="198" t="str">
        <x:v>固定字段</x:v>
      </x:c>
      <x:c r="K4" s="198" t="str">
        <x:v>固定字段</x:v>
      </x:c>
      <x:c r="L4" s="198" t="str">
        <x:v>固定字段</x:v>
      </x:c>
      <x:c r="M4" s="198" t="str">
        <x:v>固定字段</x:v>
      </x:c>
      <x:c r="N4" s="199" t="str">
        <x:v>评分 / 跟进字段</x:v>
      </x:c>
      <x:c r="O4" s="199" t="str">
        <x:v>评分 / 跟进字段</x:v>
      </x:c>
      <x:c r="P4" s="199" t="str">
        <x:v>评分 / 跟进字段</x:v>
      </x:c>
      <x:c r="Q4" s="199" t="str">
        <x:v>评分 / 跟进字段</x:v>
      </x:c>
      <x:c r="R4" s="199" t="str">
        <x:v>评分 / 跟进字段</x:v>
      </x:c>
      <x:c r="S4" s="199" t="str">
        <x:v>评分 / 跟进字段</x:v>
      </x:c>
      <x:c r="T4" s="199" t="str">
        <x:v>评分 / 跟进字段</x:v>
      </x:c>
      <x:c r="U4" s="199" t="str">
        <x:v>评分 / 跟进字段</x:v>
      </x:c>
      <x:c r="V4" s="199" t="str">
        <x:v>评分 / 跟进字段</x:v>
      </x:c>
      <x:c r="W4" s="199" t="str">
        <x:v>评分 / 跟进字段</x:v>
      </x:c>
      <x:c r="X4" s="199" t="str">
        <x:v>评分 / 跟进字段</x:v>
      </x:c>
      <x:c r="Y4" s="199" t="str">
        <x:v>评分 / 跟进字段</x:v>
      </x:c>
    </x:row>
    <x:row r="5" ht="26.399999618530273" hidden="0" customHeight="1">
      <x:c r="A5" s="151" t="str">
        <x:v>公司</x:v>
      </x:c>
      <x:c r="B5" s="200" t="str">
        <x:v>岗位名</x:v>
      </x:c>
      <x:c r="C5" s="200" t="str">
        <x:v>地点</x:v>
      </x:c>
      <x:c r="D5" s="200" t="str">
        <x:v>通勤时间</x:v>
      </x:c>
      <x:c r="E5" s="200" t="str">
        <x:v>base范围</x:v>
      </x:c>
      <x:c r="F5" s="200" t="str">
        <x:v>总包</x:v>
      </x:c>
      <x:c r="G5" s="200" t="str">
        <x:v>岗位类型</x:v>
      </x:c>
      <x:c r="H5" s="200" t="str">
        <x:v>AI相关度</x:v>
      </x:c>
      <x:c r="I5" s="200" t="str">
        <x:v>架构相关度</x:v>
      </x:c>
      <x:c r="J5" s="200" t="str">
        <x:v>业务含金量</x:v>
      </x:c>
      <x:c r="K5" s="200" t="str">
        <x:v>面试概率</x:v>
      </x:c>
      <x:c r="L5" s="200" t="str">
        <x:v>风险备注</x:v>
      </x:c>
      <x:c r="M5" s="200" t="str">
        <x:v>下一步动作</x:v>
      </x:c>
      <x:c r="N5" s="200" t="str">
        <x:v>base下限k</x:v>
      </x:c>
      <x:c r="O5" s="200" t="str">
        <x:v>薪资分</x:v>
      </x:c>
      <x:c r="P5" s="200" t="str">
        <x:v>地点分</x:v>
      </x:c>
      <x:c r="Q5" s="200" t="str">
        <x:v>AI分</x:v>
      </x:c>
      <x:c r="R5" s="200" t="str">
        <x:v>架构分</x:v>
      </x:c>
      <x:c r="S5" s="200" t="str">
        <x:v>业务分</x:v>
      </x:c>
      <x:c r="T5" s="200" t="str">
        <x:v>总分</x:v>
      </x:c>
      <x:c r="U5" s="200" t="str">
        <x:v>投递决策</x:v>
      </x:c>
      <x:c r="V5" s="200" t="str">
        <x:v>核验状态</x:v>
      </x:c>
      <x:c r="W5" s="200" t="str">
        <x:v>沟通日期</x:v>
      </x:c>
      <x:c r="X5" s="200" t="str">
        <x:v>来源链接</x:v>
      </x:c>
      <x:c r="Y5" s="152" t="str">
        <x:v>备注标签</x:v>
      </x:c>
    </x:row>
    <x:row r="6" ht="15" hidden="0" customHeight="1">
      <x:c r="A6" s="217"/>
      <x:c r="B6" s="195"/>
      <x:c r="C6" s="195"/>
      <x:c r="D6" s="218"/>
      <x:c r="E6" s="195"/>
      <x:c r="F6" s="195"/>
      <x:c r="G6" s="195"/>
      <x:c r="H6" s="195"/>
      <x:c r="I6" s="195"/>
      <x:c r="J6" s="195"/>
      <x:c r="K6" s="219"/>
      <x:c r="L6" s="195"/>
      <x:c r="M6" s="195"/>
      <x:c r="N6" s="219"/>
      <x:c r="O6" s="220" t="str">
        <x:f>IF(COUNTA($A6:$M6)=0,"",IF($N6="","待补",IF($N6&gt;=40,25,IF($N6&gt;=35,22,IF($N6&gt;=30,10,0)))))</x:f>
      </x:c>
      <x:c r="P6" s="220" t="str">
        <x:f>IF(COUNTA($A6:$M6)=0,"",IF(ISNUMBER($D6),IF($D6&lt;=45,20,IF($D6&lt;=60,14,IF($D6&lt;=75,8,3))),IF(OR(ISNUMBER(SEARCH("兴隆湖",$C6)),ISNUMBER(SEARCH("科学城",$C6))),20,IF(ISNUMBER(SEARCH("天府新区",$C6)),18,IF(OR(ISNUMBER(SEARCH("新川",$C6)),ISNUMBER(SEARCH("天府软件园",$C6)),ISNUMBER(SEARCH("高新南",$C6)),ISNUMBER(SEARCH("金融城",$C6))),12,5)))))</x:f>
      </x:c>
      <x:c r="Q6" s="220" t="str">
        <x:f>IF(COUNTA($A6:$M6)=0,"",SWITCH($H6,"核心",20,"强相关",16,"一般",10,"弱相关",5,"无",0,0))</x:f>
      </x:c>
      <x:c r="R6" s="220" t="str">
        <x:f>IF(COUNTA($A6:$M6)=0,"",SWITCH($I6,"核心",20,"强相关",16,"一般",10,"弱相关",5,"无",0,0))</x:f>
      </x:c>
      <x:c r="S6" s="220" t="str">
        <x:f>IF(COUNTA($A6:$M6)=0,"",SWITCH($J6,"高",15,"中高",12,"中",9,"低",4,"待核验",8,0))</x:f>
      </x:c>
      <x:c r="T6" s="220" t="str">
        <x:f>IF(COUNTA($A6:$M6)=0,"",SUM($O6:$S6))</x:f>
      </x:c>
      <x:c r="U6" s="221" t="str">
        <x:f>IF(COUNTA($A6:$M6)=0,"",IF($N6="","待补base",IF(OR($N6&lt;30,$T6&lt;70),"不投",IF($N6&lt;35,"备选",IF($T6&gt;=85,"优先约聊","备选")))))</x:f>
      </x:c>
      <x:c r="V6" s="195"/>
      <x:c r="W6" s="222"/>
      <x:c r="X6" s="195"/>
      <x:c r="Y6" s="180"/>
    </x:row>
    <x:row r="7" ht="15" hidden="0" customHeight="1">
      <x:c r="A7" s="217"/>
      <x:c r="B7" s="195"/>
      <x:c r="C7" s="195"/>
      <x:c r="D7" s="218"/>
      <x:c r="E7" s="195"/>
      <x:c r="F7" s="195"/>
      <x:c r="G7" s="195"/>
      <x:c r="H7" s="195"/>
      <x:c r="I7" s="195"/>
      <x:c r="J7" s="195"/>
      <x:c r="K7" s="219"/>
      <x:c r="L7" s="195"/>
      <x:c r="M7" s="195"/>
      <x:c r="N7" s="219"/>
      <x:c r="O7" s="220" t="str">
        <x:f>IF(COUNTA($A7:$M7)=0,"",IF($N7="","待补",IF($N7&gt;=40,25,IF($N7&gt;=35,22,IF($N7&gt;=30,10,0)))))</x:f>
      </x:c>
      <x:c r="P7" s="220" t="str">
        <x:f>IF(COUNTA($A7:$M7)=0,"",IF(ISNUMBER($D7),IF($D7&lt;=45,20,IF($D7&lt;=60,14,IF($D7&lt;=75,8,3))),IF(OR(ISNUMBER(SEARCH("兴隆湖",$C7)),ISNUMBER(SEARCH("科学城",$C7))),20,IF(ISNUMBER(SEARCH("天府新区",$C7)),18,IF(OR(ISNUMBER(SEARCH("新川",$C7)),ISNUMBER(SEARCH("天府软件园",$C7)),ISNUMBER(SEARCH("高新南",$C7)),ISNUMBER(SEARCH("金融城",$C7))),12,5)))))</x:f>
      </x:c>
      <x:c r="Q7" s="220" t="str">
        <x:f>IF(COUNTA($A7:$M7)=0,"",SWITCH($H7,"核心",20,"强相关",16,"一般",10,"弱相关",5,"无",0,0))</x:f>
      </x:c>
      <x:c r="R7" s="220" t="str">
        <x:f>IF(COUNTA($A7:$M7)=0,"",SWITCH($I7,"核心",20,"强相关",16,"一般",10,"弱相关",5,"无",0,0))</x:f>
      </x:c>
      <x:c r="S7" s="220" t="str">
        <x:f>IF(COUNTA($A7:$M7)=0,"",SWITCH($J7,"高",15,"中高",12,"中",9,"低",4,"待核验",8,0))</x:f>
      </x:c>
      <x:c r="T7" s="220" t="str">
        <x:f>IF(COUNTA($A7:$M7)=0,"",SUM($O7:$S7))</x:f>
      </x:c>
      <x:c r="U7" s="221" t="str">
        <x:f>IF(COUNTA($A7:$M7)=0,"",IF($N7="","待补base",IF(OR($N7&lt;30,$T7&lt;70),"不投",IF($N7&lt;35,"备选",IF($T7&gt;=85,"优先约聊","备选")))))</x:f>
      </x:c>
      <x:c r="V7" s="195"/>
      <x:c r="W7" s="222"/>
      <x:c r="X7" s="195"/>
      <x:c r="Y7" s="180"/>
    </x:row>
    <x:row r="8" ht="15" hidden="0" customHeight="1">
      <x:c r="A8" s="217"/>
      <x:c r="B8" s="195"/>
      <x:c r="C8" s="195"/>
      <x:c r="D8" s="218"/>
      <x:c r="E8" s="195"/>
      <x:c r="F8" s="195"/>
      <x:c r="G8" s="195"/>
      <x:c r="H8" s="195"/>
      <x:c r="I8" s="195"/>
      <x:c r="J8" s="195"/>
      <x:c r="K8" s="219"/>
      <x:c r="L8" s="195"/>
      <x:c r="M8" s="195"/>
      <x:c r="N8" s="219"/>
      <x:c r="O8" s="220" t="str">
        <x:f>IF(COUNTA($A8:$M8)=0,"",IF($N8="","待补",IF($N8&gt;=40,25,IF($N8&gt;=35,22,IF($N8&gt;=30,10,0)))))</x:f>
      </x:c>
      <x:c r="P8" s="220" t="str">
        <x:f>IF(COUNTA($A8:$M8)=0,"",IF(ISNUMBER($D8),IF($D8&lt;=45,20,IF($D8&lt;=60,14,IF($D8&lt;=75,8,3))),IF(OR(ISNUMBER(SEARCH("兴隆湖",$C8)),ISNUMBER(SEARCH("科学城",$C8))),20,IF(ISNUMBER(SEARCH("天府新区",$C8)),18,IF(OR(ISNUMBER(SEARCH("新川",$C8)),ISNUMBER(SEARCH("天府软件园",$C8)),ISNUMBER(SEARCH("高新南",$C8)),ISNUMBER(SEARCH("金融城",$C8))),12,5)))))</x:f>
      </x:c>
      <x:c r="Q8" s="220" t="str">
        <x:f>IF(COUNTA($A8:$M8)=0,"",SWITCH($H8,"核心",20,"强相关",16,"一般",10,"弱相关",5,"无",0,0))</x:f>
      </x:c>
      <x:c r="R8" s="220" t="str">
        <x:f>IF(COUNTA($A8:$M8)=0,"",SWITCH($I8,"核心",20,"强相关",16,"一般",10,"弱相关",5,"无",0,0))</x:f>
      </x:c>
      <x:c r="S8" s="220" t="str">
        <x:f>IF(COUNTA($A8:$M8)=0,"",SWITCH($J8,"高",15,"中高",12,"中",9,"低",4,"待核验",8,0))</x:f>
      </x:c>
      <x:c r="T8" s="220" t="str">
        <x:f>IF(COUNTA($A8:$M8)=0,"",SUM($O8:$S8))</x:f>
      </x:c>
      <x:c r="U8" s="221" t="str">
        <x:f>IF(COUNTA($A8:$M8)=0,"",IF($N8="","待补base",IF(OR($N8&lt;30,$T8&lt;70),"不投",IF($N8&lt;35,"备选",IF($T8&gt;=85,"优先约聊","备选")))))</x:f>
      </x:c>
      <x:c r="V8" s="195"/>
      <x:c r="W8" s="222"/>
      <x:c r="X8" s="195"/>
      <x:c r="Y8" s="180"/>
    </x:row>
    <x:row r="9" ht="15" hidden="0" customHeight="1">
      <x:c r="A9" s="217"/>
      <x:c r="B9" s="195"/>
      <x:c r="C9" s="195"/>
      <x:c r="D9" s="218"/>
      <x:c r="E9" s="195"/>
      <x:c r="F9" s="195"/>
      <x:c r="G9" s="195"/>
      <x:c r="H9" s="195"/>
      <x:c r="I9" s="195"/>
      <x:c r="J9" s="195"/>
      <x:c r="K9" s="219"/>
      <x:c r="L9" s="195"/>
      <x:c r="M9" s="195"/>
      <x:c r="N9" s="219"/>
      <x:c r="O9" s="220" t="str">
        <x:f>IF(COUNTA($A9:$M9)=0,"",IF($N9="","待补",IF($N9&gt;=40,25,IF($N9&gt;=35,22,IF($N9&gt;=30,10,0)))))</x:f>
      </x:c>
      <x:c r="P9" s="220" t="str">
        <x:f>IF(COUNTA($A9:$M9)=0,"",IF(ISNUMBER($D9),IF($D9&lt;=45,20,IF($D9&lt;=60,14,IF($D9&lt;=75,8,3))),IF(OR(ISNUMBER(SEARCH("兴隆湖",$C9)),ISNUMBER(SEARCH("科学城",$C9))),20,IF(ISNUMBER(SEARCH("天府新区",$C9)),18,IF(OR(ISNUMBER(SEARCH("新川",$C9)),ISNUMBER(SEARCH("天府软件园",$C9)),ISNUMBER(SEARCH("高新南",$C9)),ISNUMBER(SEARCH("金融城",$C9))),12,5)))))</x:f>
      </x:c>
      <x:c r="Q9" s="220" t="str">
        <x:f>IF(COUNTA($A9:$M9)=0,"",SWITCH($H9,"核心",20,"强相关",16,"一般",10,"弱相关",5,"无",0,0))</x:f>
      </x:c>
      <x:c r="R9" s="220" t="str">
        <x:f>IF(COUNTA($A9:$M9)=0,"",SWITCH($I9,"核心",20,"强相关",16,"一般",10,"弱相关",5,"无",0,0))</x:f>
      </x:c>
      <x:c r="S9" s="220" t="str">
        <x:f>IF(COUNTA($A9:$M9)=0,"",SWITCH($J9,"高",15,"中高",12,"中",9,"低",4,"待核验",8,0))</x:f>
      </x:c>
      <x:c r="T9" s="220" t="str">
        <x:f>IF(COUNTA($A9:$M9)=0,"",SUM($O9:$S9))</x:f>
      </x:c>
      <x:c r="U9" s="221" t="str">
        <x:f>IF(COUNTA($A9:$M9)=0,"",IF($N9="","待补base",IF(OR($N9&lt;30,$T9&lt;70),"不投",IF($N9&lt;35,"备选",IF($T9&gt;=85,"优先约聊","备选")))))</x:f>
      </x:c>
      <x:c r="V9" s="195"/>
      <x:c r="W9" s="222"/>
      <x:c r="X9" s="195"/>
      <x:c r="Y9" s="180"/>
    </x:row>
    <x:row r="10" ht="15" hidden="0" customHeight="1">
      <x:c r="A10" s="217"/>
      <x:c r="B10" s="195"/>
      <x:c r="C10" s="195"/>
      <x:c r="D10" s="218"/>
      <x:c r="E10" s="195"/>
      <x:c r="F10" s="195"/>
      <x:c r="G10" s="195"/>
      <x:c r="H10" s="195"/>
      <x:c r="I10" s="195"/>
      <x:c r="J10" s="195"/>
      <x:c r="K10" s="219"/>
      <x:c r="L10" s="195"/>
      <x:c r="M10" s="195"/>
      <x:c r="N10" s="219"/>
      <x:c r="O10" s="220" t="str">
        <x:f>IF(COUNTA($A10:$M10)=0,"",IF($N10="","待补",IF($N10&gt;=40,25,IF($N10&gt;=35,22,IF($N10&gt;=30,10,0)))))</x:f>
      </x:c>
      <x:c r="P10" s="220" t="str">
        <x:f>IF(COUNTA($A10:$M10)=0,"",IF(ISNUMBER($D10),IF($D10&lt;=45,20,IF($D10&lt;=60,14,IF($D10&lt;=75,8,3))),IF(OR(ISNUMBER(SEARCH("兴隆湖",$C10)),ISNUMBER(SEARCH("科学城",$C10))),20,IF(ISNUMBER(SEARCH("天府新区",$C10)),18,IF(OR(ISNUMBER(SEARCH("新川",$C10)),ISNUMBER(SEARCH("天府软件园",$C10)),ISNUMBER(SEARCH("高新南",$C10)),ISNUMBER(SEARCH("金融城",$C10))),12,5)))))</x:f>
      </x:c>
      <x:c r="Q10" s="220" t="str">
        <x:f>IF(COUNTA($A10:$M10)=0,"",SWITCH($H10,"核心",20,"强相关",16,"一般",10,"弱相关",5,"无",0,0))</x:f>
      </x:c>
      <x:c r="R10" s="220" t="str">
        <x:f>IF(COUNTA($A10:$M10)=0,"",SWITCH($I10,"核心",20,"强相关",16,"一般",10,"弱相关",5,"无",0,0))</x:f>
      </x:c>
      <x:c r="S10" s="220" t="str">
        <x:f>IF(COUNTA($A10:$M10)=0,"",SWITCH($J10,"高",15,"中高",12,"中",9,"低",4,"待核验",8,0))</x:f>
      </x:c>
      <x:c r="T10" s="220" t="str">
        <x:f>IF(COUNTA($A10:$M10)=0,"",SUM($O10:$S10))</x:f>
      </x:c>
      <x:c r="U10" s="221" t="str">
        <x:f>IF(COUNTA($A10:$M10)=0,"",IF($N10="","待补base",IF(OR($N10&lt;30,$T10&lt;70),"不投",IF($N10&lt;35,"备选",IF($T10&gt;=85,"优先约聊","备选")))))</x:f>
      </x:c>
      <x:c r="V10" s="195"/>
      <x:c r="W10" s="222"/>
      <x:c r="X10" s="195"/>
      <x:c r="Y10" s="180"/>
    </x:row>
    <x:row r="11" ht="15" hidden="0" customHeight="1">
      <x:c r="A11" s="217"/>
      <x:c r="B11" s="195"/>
      <x:c r="C11" s="195"/>
      <x:c r="D11" s="218"/>
      <x:c r="E11" s="195"/>
      <x:c r="F11" s="195"/>
      <x:c r="G11" s="195"/>
      <x:c r="H11" s="195"/>
      <x:c r="I11" s="195"/>
      <x:c r="J11" s="195"/>
      <x:c r="K11" s="219"/>
      <x:c r="L11" s="195"/>
      <x:c r="M11" s="195"/>
      <x:c r="N11" s="219"/>
      <x:c r="O11" s="220" t="str">
        <x:f>IF(COUNTA($A11:$M11)=0,"",IF($N11="","待补",IF($N11&gt;=40,25,IF($N11&gt;=35,22,IF($N11&gt;=30,10,0)))))</x:f>
      </x:c>
      <x:c r="P11" s="220" t="str">
        <x:f>IF(COUNTA($A11:$M11)=0,"",IF(ISNUMBER($D11),IF($D11&lt;=45,20,IF($D11&lt;=60,14,IF($D11&lt;=75,8,3))),IF(OR(ISNUMBER(SEARCH("兴隆湖",$C11)),ISNUMBER(SEARCH("科学城",$C11))),20,IF(ISNUMBER(SEARCH("天府新区",$C11)),18,IF(OR(ISNUMBER(SEARCH("新川",$C11)),ISNUMBER(SEARCH("天府软件园",$C11)),ISNUMBER(SEARCH("高新南",$C11)),ISNUMBER(SEARCH("金融城",$C11))),12,5)))))</x:f>
      </x:c>
      <x:c r="Q11" s="220" t="str">
        <x:f>IF(COUNTA($A11:$M11)=0,"",SWITCH($H11,"核心",20,"强相关",16,"一般",10,"弱相关",5,"无",0,0))</x:f>
      </x:c>
      <x:c r="R11" s="220" t="str">
        <x:f>IF(COUNTA($A11:$M11)=0,"",SWITCH($I11,"核心",20,"强相关",16,"一般",10,"弱相关",5,"无",0,0))</x:f>
      </x:c>
      <x:c r="S11" s="220" t="str">
        <x:f>IF(COUNTA($A11:$M11)=0,"",SWITCH($J11,"高",15,"中高",12,"中",9,"低",4,"待核验",8,0))</x:f>
      </x:c>
      <x:c r="T11" s="220" t="str">
        <x:f>IF(COUNTA($A11:$M11)=0,"",SUM($O11:$S11))</x:f>
      </x:c>
      <x:c r="U11" s="221" t="str">
        <x:f>IF(COUNTA($A11:$M11)=0,"",IF($N11="","待补base",IF(OR($N11&lt;30,$T11&lt;70),"不投",IF($N11&lt;35,"备选",IF($T11&gt;=85,"优先约聊","备选")))))</x:f>
      </x:c>
      <x:c r="V11" s="195"/>
      <x:c r="W11" s="222"/>
      <x:c r="X11" s="195"/>
      <x:c r="Y11" s="180"/>
    </x:row>
    <x:row r="12" ht="15" hidden="0" customHeight="1">
      <x:c r="A12" s="217"/>
      <x:c r="B12" s="195"/>
      <x:c r="C12" s="195"/>
      <x:c r="D12" s="218"/>
      <x:c r="E12" s="195"/>
      <x:c r="F12" s="195"/>
      <x:c r="G12" s="195"/>
      <x:c r="H12" s="195"/>
      <x:c r="I12" s="195"/>
      <x:c r="J12" s="195"/>
      <x:c r="K12" s="219"/>
      <x:c r="L12" s="195"/>
      <x:c r="M12" s="195"/>
      <x:c r="N12" s="219"/>
      <x:c r="O12" s="220" t="str">
        <x:f>IF(COUNTA($A12:$M12)=0,"",IF($N12="","待补",IF($N12&gt;=40,25,IF($N12&gt;=35,22,IF($N12&gt;=30,10,0)))))</x:f>
      </x:c>
      <x:c r="P12" s="220" t="str">
        <x:f>IF(COUNTA($A12:$M12)=0,"",IF(ISNUMBER($D12),IF($D12&lt;=45,20,IF($D12&lt;=60,14,IF($D12&lt;=75,8,3))),IF(OR(ISNUMBER(SEARCH("兴隆湖",$C12)),ISNUMBER(SEARCH("科学城",$C12))),20,IF(ISNUMBER(SEARCH("天府新区",$C12)),18,IF(OR(ISNUMBER(SEARCH("新川",$C12)),ISNUMBER(SEARCH("天府软件园",$C12)),ISNUMBER(SEARCH("高新南",$C12)),ISNUMBER(SEARCH("金融城",$C12))),12,5)))))</x:f>
      </x:c>
      <x:c r="Q12" s="220" t="str">
        <x:f>IF(COUNTA($A12:$M12)=0,"",SWITCH($H12,"核心",20,"强相关",16,"一般",10,"弱相关",5,"无",0,0))</x:f>
      </x:c>
      <x:c r="R12" s="220" t="str">
        <x:f>IF(COUNTA($A12:$M12)=0,"",SWITCH($I12,"核心",20,"强相关",16,"一般",10,"弱相关",5,"无",0,0))</x:f>
      </x:c>
      <x:c r="S12" s="220" t="str">
        <x:f>IF(COUNTA($A12:$M12)=0,"",SWITCH($J12,"高",15,"中高",12,"中",9,"低",4,"待核验",8,0))</x:f>
      </x:c>
      <x:c r="T12" s="220" t="str">
        <x:f>IF(COUNTA($A12:$M12)=0,"",SUM($O12:$S12))</x:f>
      </x:c>
      <x:c r="U12" s="221" t="str">
        <x:f>IF(COUNTA($A12:$M12)=0,"",IF($N12="","待补base",IF(OR($N12&lt;30,$T12&lt;70),"不投",IF($N12&lt;35,"备选",IF($T12&gt;=85,"优先约聊","备选")))))</x:f>
      </x:c>
      <x:c r="V12" s="195"/>
      <x:c r="W12" s="222"/>
      <x:c r="X12" s="195"/>
      <x:c r="Y12" s="180"/>
    </x:row>
    <x:row r="13" ht="15" hidden="0" customHeight="1">
      <x:c r="A13" s="217"/>
      <x:c r="B13" s="195"/>
      <x:c r="C13" s="195"/>
      <x:c r="D13" s="218"/>
      <x:c r="E13" s="195"/>
      <x:c r="F13" s="195"/>
      <x:c r="G13" s="195"/>
      <x:c r="H13" s="195"/>
      <x:c r="I13" s="195"/>
      <x:c r="J13" s="195"/>
      <x:c r="K13" s="219"/>
      <x:c r="L13" s="195"/>
      <x:c r="M13" s="195"/>
      <x:c r="N13" s="219"/>
      <x:c r="O13" s="220" t="str">
        <x:f>IF(COUNTA($A13:$M13)=0,"",IF($N13="","待补",IF($N13&gt;=40,25,IF($N13&gt;=35,22,IF($N13&gt;=30,10,0)))))</x:f>
      </x:c>
      <x:c r="P13" s="220" t="str">
        <x:f>IF(COUNTA($A13:$M13)=0,"",IF(ISNUMBER($D13),IF($D13&lt;=45,20,IF($D13&lt;=60,14,IF($D13&lt;=75,8,3))),IF(OR(ISNUMBER(SEARCH("兴隆湖",$C13)),ISNUMBER(SEARCH("科学城",$C13))),20,IF(ISNUMBER(SEARCH("天府新区",$C13)),18,IF(OR(ISNUMBER(SEARCH("新川",$C13)),ISNUMBER(SEARCH("天府软件园",$C13)),ISNUMBER(SEARCH("高新南",$C13)),ISNUMBER(SEARCH("金融城",$C13))),12,5)))))</x:f>
      </x:c>
      <x:c r="Q13" s="220" t="str">
        <x:f>IF(COUNTA($A13:$M13)=0,"",SWITCH($H13,"核心",20,"强相关",16,"一般",10,"弱相关",5,"无",0,0))</x:f>
      </x:c>
      <x:c r="R13" s="220" t="str">
        <x:f>IF(COUNTA($A13:$M13)=0,"",SWITCH($I13,"核心",20,"强相关",16,"一般",10,"弱相关",5,"无",0,0))</x:f>
      </x:c>
      <x:c r="S13" s="220" t="str">
        <x:f>IF(COUNTA($A13:$M13)=0,"",SWITCH($J13,"高",15,"中高",12,"中",9,"低",4,"待核验",8,0))</x:f>
      </x:c>
      <x:c r="T13" s="220" t="str">
        <x:f>IF(COUNTA($A13:$M13)=0,"",SUM($O13:$S13))</x:f>
      </x:c>
      <x:c r="U13" s="221" t="str">
        <x:f>IF(COUNTA($A13:$M13)=0,"",IF($N13="","待补base",IF(OR($N13&lt;30,$T13&lt;70),"不投",IF($N13&lt;35,"备选",IF($T13&gt;=85,"优先约聊","备选")))))</x:f>
      </x:c>
      <x:c r="V13" s="195"/>
      <x:c r="W13" s="222"/>
      <x:c r="X13" s="195"/>
      <x:c r="Y13" s="180"/>
    </x:row>
    <x:row r="14" ht="15" hidden="0" customHeight="1">
      <x:c r="A14" s="217"/>
      <x:c r="B14" s="195"/>
      <x:c r="C14" s="195"/>
      <x:c r="D14" s="218"/>
      <x:c r="E14" s="195"/>
      <x:c r="F14" s="195"/>
      <x:c r="G14" s="195"/>
      <x:c r="H14" s="195"/>
      <x:c r="I14" s="195"/>
      <x:c r="J14" s="195"/>
      <x:c r="K14" s="219"/>
      <x:c r="L14" s="195"/>
      <x:c r="M14" s="195"/>
      <x:c r="N14" s="219"/>
      <x:c r="O14" s="220" t="str">
        <x:f>IF(COUNTA($A14:$M14)=0,"",IF($N14="","待补",IF($N14&gt;=40,25,IF($N14&gt;=35,22,IF($N14&gt;=30,10,0)))))</x:f>
      </x:c>
      <x:c r="P14" s="220" t="str">
        <x:f>IF(COUNTA($A14:$M14)=0,"",IF(ISNUMBER($D14),IF($D14&lt;=45,20,IF($D14&lt;=60,14,IF($D14&lt;=75,8,3))),IF(OR(ISNUMBER(SEARCH("兴隆湖",$C14)),ISNUMBER(SEARCH("科学城",$C14))),20,IF(ISNUMBER(SEARCH("天府新区",$C14)),18,IF(OR(ISNUMBER(SEARCH("新川",$C14)),ISNUMBER(SEARCH("天府软件园",$C14)),ISNUMBER(SEARCH("高新南",$C14)),ISNUMBER(SEARCH("金融城",$C14))),12,5)))))</x:f>
      </x:c>
      <x:c r="Q14" s="220" t="str">
        <x:f>IF(COUNTA($A14:$M14)=0,"",SWITCH($H14,"核心",20,"强相关",16,"一般",10,"弱相关",5,"无",0,0))</x:f>
      </x:c>
      <x:c r="R14" s="220" t="str">
        <x:f>IF(COUNTA($A14:$M14)=0,"",SWITCH($I14,"核心",20,"强相关",16,"一般",10,"弱相关",5,"无",0,0))</x:f>
      </x:c>
      <x:c r="S14" s="220" t="str">
        <x:f>IF(COUNTA($A14:$M14)=0,"",SWITCH($J14,"高",15,"中高",12,"中",9,"低",4,"待核验",8,0))</x:f>
      </x:c>
      <x:c r="T14" s="220" t="str">
        <x:f>IF(COUNTA($A14:$M14)=0,"",SUM($O14:$S14))</x:f>
      </x:c>
      <x:c r="U14" s="221" t="str">
        <x:f>IF(COUNTA($A14:$M14)=0,"",IF($N14="","待补base",IF(OR($N14&lt;30,$T14&lt;70),"不投",IF($N14&lt;35,"备选",IF($T14&gt;=85,"优先约聊","备选")))))</x:f>
      </x:c>
      <x:c r="V14" s="195"/>
      <x:c r="W14" s="222"/>
      <x:c r="X14" s="195"/>
      <x:c r="Y14" s="180"/>
    </x:row>
    <x:row r="15" ht="15" hidden="0" customHeight="1">
      <x:c r="A15" s="217"/>
      <x:c r="B15" s="195"/>
      <x:c r="C15" s="195"/>
      <x:c r="D15" s="218"/>
      <x:c r="E15" s="195"/>
      <x:c r="F15" s="195"/>
      <x:c r="G15" s="195"/>
      <x:c r="H15" s="195"/>
      <x:c r="I15" s="195"/>
      <x:c r="J15" s="195"/>
      <x:c r="K15" s="219"/>
      <x:c r="L15" s="195"/>
      <x:c r="M15" s="195"/>
      <x:c r="N15" s="219"/>
      <x:c r="O15" s="220" t="str">
        <x:f>IF(COUNTA($A15:$M15)=0,"",IF($N15="","待补",IF($N15&gt;=40,25,IF($N15&gt;=35,22,IF($N15&gt;=30,10,0)))))</x:f>
      </x:c>
      <x:c r="P15" s="220" t="str">
        <x:f>IF(COUNTA($A15:$M15)=0,"",IF(ISNUMBER($D15),IF($D15&lt;=45,20,IF($D15&lt;=60,14,IF($D15&lt;=75,8,3))),IF(OR(ISNUMBER(SEARCH("兴隆湖",$C15)),ISNUMBER(SEARCH("科学城",$C15))),20,IF(ISNUMBER(SEARCH("天府新区",$C15)),18,IF(OR(ISNUMBER(SEARCH("新川",$C15)),ISNUMBER(SEARCH("天府软件园",$C15)),ISNUMBER(SEARCH("高新南",$C15)),ISNUMBER(SEARCH("金融城",$C15))),12,5)))))</x:f>
      </x:c>
      <x:c r="Q15" s="220" t="str">
        <x:f>IF(COUNTA($A15:$M15)=0,"",SWITCH($H15,"核心",20,"强相关",16,"一般",10,"弱相关",5,"无",0,0))</x:f>
      </x:c>
      <x:c r="R15" s="220" t="str">
        <x:f>IF(COUNTA($A15:$M15)=0,"",SWITCH($I15,"核心",20,"强相关",16,"一般",10,"弱相关",5,"无",0,0))</x:f>
      </x:c>
      <x:c r="S15" s="220" t="str">
        <x:f>IF(COUNTA($A15:$M15)=0,"",SWITCH($J15,"高",15,"中高",12,"中",9,"低",4,"待核验",8,0))</x:f>
      </x:c>
      <x:c r="T15" s="220" t="str">
        <x:f>IF(COUNTA($A15:$M15)=0,"",SUM($O15:$S15))</x:f>
      </x:c>
      <x:c r="U15" s="221" t="str">
        <x:f>IF(COUNTA($A15:$M15)=0,"",IF($N15="","待补base",IF(OR($N15&lt;30,$T15&lt;70),"不投",IF($N15&lt;35,"备选",IF($T15&gt;=85,"优先约聊","备选")))))</x:f>
      </x:c>
      <x:c r="V15" s="195"/>
      <x:c r="W15" s="222"/>
      <x:c r="X15" s="195"/>
      <x:c r="Y15" s="180"/>
    </x:row>
    <x:row r="16" ht="15" hidden="0" customHeight="1">
      <x:c r="A16" s="217"/>
      <x:c r="B16" s="195"/>
      <x:c r="C16" s="195"/>
      <x:c r="D16" s="218"/>
      <x:c r="E16" s="195"/>
      <x:c r="F16" s="195"/>
      <x:c r="G16" s="195"/>
      <x:c r="H16" s="195"/>
      <x:c r="I16" s="195"/>
      <x:c r="J16" s="195"/>
      <x:c r="K16" s="219"/>
      <x:c r="L16" s="195"/>
      <x:c r="M16" s="195"/>
      <x:c r="N16" s="219"/>
      <x:c r="O16" s="220" t="str">
        <x:f>IF(COUNTA($A16:$M16)=0,"",IF($N16="","待补",IF($N16&gt;=40,25,IF($N16&gt;=35,22,IF($N16&gt;=30,10,0)))))</x:f>
      </x:c>
      <x:c r="P16" s="220" t="str">
        <x:f>IF(COUNTA($A16:$M16)=0,"",IF(ISNUMBER($D16),IF($D16&lt;=45,20,IF($D16&lt;=60,14,IF($D16&lt;=75,8,3))),IF(OR(ISNUMBER(SEARCH("兴隆湖",$C16)),ISNUMBER(SEARCH("科学城",$C16))),20,IF(ISNUMBER(SEARCH("天府新区",$C16)),18,IF(OR(ISNUMBER(SEARCH("新川",$C16)),ISNUMBER(SEARCH("天府软件园",$C16)),ISNUMBER(SEARCH("高新南",$C16)),ISNUMBER(SEARCH("金融城",$C16))),12,5)))))</x:f>
      </x:c>
      <x:c r="Q16" s="220" t="str">
        <x:f>IF(COUNTA($A16:$M16)=0,"",SWITCH($H16,"核心",20,"强相关",16,"一般",10,"弱相关",5,"无",0,0))</x:f>
      </x:c>
      <x:c r="R16" s="220" t="str">
        <x:f>IF(COUNTA($A16:$M16)=0,"",SWITCH($I16,"核心",20,"强相关",16,"一般",10,"弱相关",5,"无",0,0))</x:f>
      </x:c>
      <x:c r="S16" s="220" t="str">
        <x:f>IF(COUNTA($A16:$M16)=0,"",SWITCH($J16,"高",15,"中高",12,"中",9,"低",4,"待核验",8,0))</x:f>
      </x:c>
      <x:c r="T16" s="220" t="str">
        <x:f>IF(COUNTA($A16:$M16)=0,"",SUM($O16:$S16))</x:f>
      </x:c>
      <x:c r="U16" s="221" t="str">
        <x:f>IF(COUNTA($A16:$M16)=0,"",IF($N16="","待补base",IF(OR($N16&lt;30,$T16&lt;70),"不投",IF($N16&lt;35,"备选",IF($T16&gt;=85,"优先约聊","备选")))))</x:f>
      </x:c>
      <x:c r="V16" s="195"/>
      <x:c r="W16" s="222"/>
      <x:c r="X16" s="195"/>
      <x:c r="Y16" s="180"/>
    </x:row>
    <x:row r="17" ht="15" hidden="0" customHeight="1">
      <x:c r="A17" s="217"/>
      <x:c r="B17" s="195"/>
      <x:c r="C17" s="195"/>
      <x:c r="D17" s="218"/>
      <x:c r="E17" s="195"/>
      <x:c r="F17" s="195"/>
      <x:c r="G17" s="195"/>
      <x:c r="H17" s="195"/>
      <x:c r="I17" s="195"/>
      <x:c r="J17" s="195"/>
      <x:c r="K17" s="219"/>
      <x:c r="L17" s="195"/>
      <x:c r="M17" s="195"/>
      <x:c r="N17" s="219"/>
      <x:c r="O17" s="220" t="str">
        <x:f>IF(COUNTA($A17:$M17)=0,"",IF($N17="","待补",IF($N17&gt;=40,25,IF($N17&gt;=35,22,IF($N17&gt;=30,10,0)))))</x:f>
      </x:c>
      <x:c r="P17" s="220" t="str">
        <x:f>IF(COUNTA($A17:$M17)=0,"",IF(ISNUMBER($D17),IF($D17&lt;=45,20,IF($D17&lt;=60,14,IF($D17&lt;=75,8,3))),IF(OR(ISNUMBER(SEARCH("兴隆湖",$C17)),ISNUMBER(SEARCH("科学城",$C17))),20,IF(ISNUMBER(SEARCH("天府新区",$C17)),18,IF(OR(ISNUMBER(SEARCH("新川",$C17)),ISNUMBER(SEARCH("天府软件园",$C17)),ISNUMBER(SEARCH("高新南",$C17)),ISNUMBER(SEARCH("金融城",$C17))),12,5)))))</x:f>
      </x:c>
      <x:c r="Q17" s="220" t="str">
        <x:f>IF(COUNTA($A17:$M17)=0,"",SWITCH($H17,"核心",20,"强相关",16,"一般",10,"弱相关",5,"无",0,0))</x:f>
      </x:c>
      <x:c r="R17" s="220" t="str">
        <x:f>IF(COUNTA($A17:$M17)=0,"",SWITCH($I17,"核心",20,"强相关",16,"一般",10,"弱相关",5,"无",0,0))</x:f>
      </x:c>
      <x:c r="S17" s="220" t="str">
        <x:f>IF(COUNTA($A17:$M17)=0,"",SWITCH($J17,"高",15,"中高",12,"中",9,"低",4,"待核验",8,0))</x:f>
      </x:c>
      <x:c r="T17" s="220" t="str">
        <x:f>IF(COUNTA($A17:$M17)=0,"",SUM($O17:$S17))</x:f>
      </x:c>
      <x:c r="U17" s="221" t="str">
        <x:f>IF(COUNTA($A17:$M17)=0,"",IF($N17="","待补base",IF(OR($N17&lt;30,$T17&lt;70),"不投",IF($N17&lt;35,"备选",IF($T17&gt;=85,"优先约聊","备选")))))</x:f>
      </x:c>
      <x:c r="V17" s="195"/>
      <x:c r="W17" s="222"/>
      <x:c r="X17" s="195"/>
      <x:c r="Y17" s="180"/>
    </x:row>
    <x:row r="18" ht="15" hidden="0" customHeight="1">
      <x:c r="A18" s="217"/>
      <x:c r="B18" s="195"/>
      <x:c r="C18" s="195"/>
      <x:c r="D18" s="218"/>
      <x:c r="E18" s="195"/>
      <x:c r="F18" s="195"/>
      <x:c r="G18" s="195"/>
      <x:c r="H18" s="195"/>
      <x:c r="I18" s="195"/>
      <x:c r="J18" s="195"/>
      <x:c r="K18" s="219"/>
      <x:c r="L18" s="195"/>
      <x:c r="M18" s="195"/>
      <x:c r="N18" s="219"/>
      <x:c r="O18" s="220" t="str">
        <x:f>IF(COUNTA($A18:$M18)=0,"",IF($N18="","待补",IF($N18&gt;=40,25,IF($N18&gt;=35,22,IF($N18&gt;=30,10,0)))))</x:f>
      </x:c>
      <x:c r="P18" s="220" t="str">
        <x:f>IF(COUNTA($A18:$M18)=0,"",IF(ISNUMBER($D18),IF($D18&lt;=45,20,IF($D18&lt;=60,14,IF($D18&lt;=75,8,3))),IF(OR(ISNUMBER(SEARCH("兴隆湖",$C18)),ISNUMBER(SEARCH("科学城",$C18))),20,IF(ISNUMBER(SEARCH("天府新区",$C18)),18,IF(OR(ISNUMBER(SEARCH("新川",$C18)),ISNUMBER(SEARCH("天府软件园",$C18)),ISNUMBER(SEARCH("高新南",$C18)),ISNUMBER(SEARCH("金融城",$C18))),12,5)))))</x:f>
      </x:c>
      <x:c r="Q18" s="220" t="str">
        <x:f>IF(COUNTA($A18:$M18)=0,"",SWITCH($H18,"核心",20,"强相关",16,"一般",10,"弱相关",5,"无",0,0))</x:f>
      </x:c>
      <x:c r="R18" s="220" t="str">
        <x:f>IF(COUNTA($A18:$M18)=0,"",SWITCH($I18,"核心",20,"强相关",16,"一般",10,"弱相关",5,"无",0,0))</x:f>
      </x:c>
      <x:c r="S18" s="220" t="str">
        <x:f>IF(COUNTA($A18:$M18)=0,"",SWITCH($J18,"高",15,"中高",12,"中",9,"低",4,"待核验",8,0))</x:f>
      </x:c>
      <x:c r="T18" s="220" t="str">
        <x:f>IF(COUNTA($A18:$M18)=0,"",SUM($O18:$S18))</x:f>
      </x:c>
      <x:c r="U18" s="221" t="str">
        <x:f>IF(COUNTA($A18:$M18)=0,"",IF($N18="","待补base",IF(OR($N18&lt;30,$T18&lt;70),"不投",IF($N18&lt;35,"备选",IF($T18&gt;=85,"优先约聊","备选")))))</x:f>
      </x:c>
      <x:c r="V18" s="195"/>
      <x:c r="W18" s="222"/>
      <x:c r="X18" s="195"/>
      <x:c r="Y18" s="180"/>
    </x:row>
    <x:row r="19" ht="15" hidden="0" customHeight="1">
      <x:c r="A19" s="217"/>
      <x:c r="B19" s="195"/>
      <x:c r="C19" s="195"/>
      <x:c r="D19" s="218"/>
      <x:c r="E19" s="195"/>
      <x:c r="F19" s="195"/>
      <x:c r="G19" s="195"/>
      <x:c r="H19" s="195"/>
      <x:c r="I19" s="195"/>
      <x:c r="J19" s="195"/>
      <x:c r="K19" s="219"/>
      <x:c r="L19" s="195"/>
      <x:c r="M19" s="195"/>
      <x:c r="N19" s="219"/>
      <x:c r="O19" s="220" t="str">
        <x:f>IF(COUNTA($A19:$M19)=0,"",IF($N19="","待补",IF($N19&gt;=40,25,IF($N19&gt;=35,22,IF($N19&gt;=30,10,0)))))</x:f>
      </x:c>
      <x:c r="P19" s="220" t="str">
        <x:f>IF(COUNTA($A19:$M19)=0,"",IF(ISNUMBER($D19),IF($D19&lt;=45,20,IF($D19&lt;=60,14,IF($D19&lt;=75,8,3))),IF(OR(ISNUMBER(SEARCH("兴隆湖",$C19)),ISNUMBER(SEARCH("科学城",$C19))),20,IF(ISNUMBER(SEARCH("天府新区",$C19)),18,IF(OR(ISNUMBER(SEARCH("新川",$C19)),ISNUMBER(SEARCH("天府软件园",$C19)),ISNUMBER(SEARCH("高新南",$C19)),ISNUMBER(SEARCH("金融城",$C19))),12,5)))))</x:f>
      </x:c>
      <x:c r="Q19" s="220" t="str">
        <x:f>IF(COUNTA($A19:$M19)=0,"",SWITCH($H19,"核心",20,"强相关",16,"一般",10,"弱相关",5,"无",0,0))</x:f>
      </x:c>
      <x:c r="R19" s="220" t="str">
        <x:f>IF(COUNTA($A19:$M19)=0,"",SWITCH($I19,"核心",20,"强相关",16,"一般",10,"弱相关",5,"无",0,0))</x:f>
      </x:c>
      <x:c r="S19" s="220" t="str">
        <x:f>IF(COUNTA($A19:$M19)=0,"",SWITCH($J19,"高",15,"中高",12,"中",9,"低",4,"待核验",8,0))</x:f>
      </x:c>
      <x:c r="T19" s="220" t="str">
        <x:f>IF(COUNTA($A19:$M19)=0,"",SUM($O19:$S19))</x:f>
      </x:c>
      <x:c r="U19" s="221" t="str">
        <x:f>IF(COUNTA($A19:$M19)=0,"",IF($N19="","待补base",IF(OR($N19&lt;30,$T19&lt;70),"不投",IF($N19&lt;35,"备选",IF($T19&gt;=85,"优先约聊","备选")))))</x:f>
      </x:c>
      <x:c r="V19" s="195"/>
      <x:c r="W19" s="222"/>
      <x:c r="X19" s="195"/>
      <x:c r="Y19" s="180"/>
    </x:row>
    <x:row r="20" ht="15" hidden="0" customHeight="1">
      <x:c r="A20" s="217"/>
      <x:c r="B20" s="195"/>
      <x:c r="C20" s="195"/>
      <x:c r="D20" s="218"/>
      <x:c r="E20" s="195"/>
      <x:c r="F20" s="195"/>
      <x:c r="G20" s="195"/>
      <x:c r="H20" s="195"/>
      <x:c r="I20" s="195"/>
      <x:c r="J20" s="195"/>
      <x:c r="K20" s="219"/>
      <x:c r="L20" s="195"/>
      <x:c r="M20" s="195"/>
      <x:c r="N20" s="219"/>
      <x:c r="O20" s="220" t="str">
        <x:f>IF(COUNTA($A20:$M20)=0,"",IF($N20="","待补",IF($N20&gt;=40,25,IF($N20&gt;=35,22,IF($N20&gt;=30,10,0)))))</x:f>
      </x:c>
      <x:c r="P20" s="220" t="str">
        <x:f>IF(COUNTA($A20:$M20)=0,"",IF(ISNUMBER($D20),IF($D20&lt;=45,20,IF($D20&lt;=60,14,IF($D20&lt;=75,8,3))),IF(OR(ISNUMBER(SEARCH("兴隆湖",$C20)),ISNUMBER(SEARCH("科学城",$C20))),20,IF(ISNUMBER(SEARCH("天府新区",$C20)),18,IF(OR(ISNUMBER(SEARCH("新川",$C20)),ISNUMBER(SEARCH("天府软件园",$C20)),ISNUMBER(SEARCH("高新南",$C20)),ISNUMBER(SEARCH("金融城",$C20))),12,5)))))</x:f>
      </x:c>
      <x:c r="Q20" s="220" t="str">
        <x:f>IF(COUNTA($A20:$M20)=0,"",SWITCH($H20,"核心",20,"强相关",16,"一般",10,"弱相关",5,"无",0,0))</x:f>
      </x:c>
      <x:c r="R20" s="220" t="str">
        <x:f>IF(COUNTA($A20:$M20)=0,"",SWITCH($I20,"核心",20,"强相关",16,"一般",10,"弱相关",5,"无",0,0))</x:f>
      </x:c>
      <x:c r="S20" s="220" t="str">
        <x:f>IF(COUNTA($A20:$M20)=0,"",SWITCH($J20,"高",15,"中高",12,"中",9,"低",4,"待核验",8,0))</x:f>
      </x:c>
      <x:c r="T20" s="220" t="str">
        <x:f>IF(COUNTA($A20:$M20)=0,"",SUM($O20:$S20))</x:f>
      </x:c>
      <x:c r="U20" s="221" t="str">
        <x:f>IF(COUNTA($A20:$M20)=0,"",IF($N20="","待补base",IF(OR($N20&lt;30,$T20&lt;70),"不投",IF($N20&lt;35,"备选",IF($T20&gt;=85,"优先约聊","备选")))))</x:f>
      </x:c>
      <x:c r="V20" s="195"/>
      <x:c r="W20" s="222"/>
      <x:c r="X20" s="195"/>
      <x:c r="Y20" s="180"/>
    </x:row>
    <x:row r="21" ht="15" hidden="0" customHeight="1">
      <x:c r="A21" s="217"/>
      <x:c r="B21" s="195"/>
      <x:c r="C21" s="195"/>
      <x:c r="D21" s="218"/>
      <x:c r="E21" s="195"/>
      <x:c r="F21" s="195"/>
      <x:c r="G21" s="195"/>
      <x:c r="H21" s="195"/>
      <x:c r="I21" s="195"/>
      <x:c r="J21" s="195"/>
      <x:c r="K21" s="219"/>
      <x:c r="L21" s="195"/>
      <x:c r="M21" s="195"/>
      <x:c r="N21" s="219"/>
      <x:c r="O21" s="220" t="str">
        <x:f>IF(COUNTA($A21:$M21)=0,"",IF($N21="","待补",IF($N21&gt;=40,25,IF($N21&gt;=35,22,IF($N21&gt;=30,10,0)))))</x:f>
      </x:c>
      <x:c r="P21" s="220" t="str">
        <x:f>IF(COUNTA($A21:$M21)=0,"",IF(ISNUMBER($D21),IF($D21&lt;=45,20,IF($D21&lt;=60,14,IF($D21&lt;=75,8,3))),IF(OR(ISNUMBER(SEARCH("兴隆湖",$C21)),ISNUMBER(SEARCH("科学城",$C21))),20,IF(ISNUMBER(SEARCH("天府新区",$C21)),18,IF(OR(ISNUMBER(SEARCH("新川",$C21)),ISNUMBER(SEARCH("天府软件园",$C21)),ISNUMBER(SEARCH("高新南",$C21)),ISNUMBER(SEARCH("金融城",$C21))),12,5)))))</x:f>
      </x:c>
      <x:c r="Q21" s="220" t="str">
        <x:f>IF(COUNTA($A21:$M21)=0,"",SWITCH($H21,"核心",20,"强相关",16,"一般",10,"弱相关",5,"无",0,0))</x:f>
      </x:c>
      <x:c r="R21" s="220" t="str">
        <x:f>IF(COUNTA($A21:$M21)=0,"",SWITCH($I21,"核心",20,"强相关",16,"一般",10,"弱相关",5,"无",0,0))</x:f>
      </x:c>
      <x:c r="S21" s="220" t="str">
        <x:f>IF(COUNTA($A21:$M21)=0,"",SWITCH($J21,"高",15,"中高",12,"中",9,"低",4,"待核验",8,0))</x:f>
      </x:c>
      <x:c r="T21" s="220" t="str">
        <x:f>IF(COUNTA($A21:$M21)=0,"",SUM($O21:$S21))</x:f>
      </x:c>
      <x:c r="U21" s="221" t="str">
        <x:f>IF(COUNTA($A21:$M21)=0,"",IF($N21="","待补base",IF(OR($N21&lt;30,$T21&lt;70),"不投",IF($N21&lt;35,"备选",IF($T21&gt;=85,"优先约聊","备选")))))</x:f>
      </x:c>
      <x:c r="V21" s="195"/>
      <x:c r="W21" s="222"/>
      <x:c r="X21" s="195"/>
      <x:c r="Y21" s="180"/>
    </x:row>
    <x:row r="22" ht="15" hidden="0" customHeight="1">
      <x:c r="A22" s="217"/>
      <x:c r="B22" s="195"/>
      <x:c r="C22" s="195"/>
      <x:c r="D22" s="218"/>
      <x:c r="E22" s="195"/>
      <x:c r="F22" s="195"/>
      <x:c r="G22" s="195"/>
      <x:c r="H22" s="195"/>
      <x:c r="I22" s="195"/>
      <x:c r="J22" s="195"/>
      <x:c r="K22" s="219"/>
      <x:c r="L22" s="195"/>
      <x:c r="M22" s="195"/>
      <x:c r="N22" s="219"/>
      <x:c r="O22" s="220" t="str">
        <x:f>IF(COUNTA($A22:$M22)=0,"",IF($N22="","待补",IF($N22&gt;=40,25,IF($N22&gt;=35,22,IF($N22&gt;=30,10,0)))))</x:f>
      </x:c>
      <x:c r="P22" s="220" t="str">
        <x:f>IF(COUNTA($A22:$M22)=0,"",IF(ISNUMBER($D22),IF($D22&lt;=45,20,IF($D22&lt;=60,14,IF($D22&lt;=75,8,3))),IF(OR(ISNUMBER(SEARCH("兴隆湖",$C22)),ISNUMBER(SEARCH("科学城",$C22))),20,IF(ISNUMBER(SEARCH("天府新区",$C22)),18,IF(OR(ISNUMBER(SEARCH("新川",$C22)),ISNUMBER(SEARCH("天府软件园",$C22)),ISNUMBER(SEARCH("高新南",$C22)),ISNUMBER(SEARCH("金融城",$C22))),12,5)))))</x:f>
      </x:c>
      <x:c r="Q22" s="220" t="str">
        <x:f>IF(COUNTA($A22:$M22)=0,"",SWITCH($H22,"核心",20,"强相关",16,"一般",10,"弱相关",5,"无",0,0))</x:f>
      </x:c>
      <x:c r="R22" s="220" t="str">
        <x:f>IF(COUNTA($A22:$M22)=0,"",SWITCH($I22,"核心",20,"强相关",16,"一般",10,"弱相关",5,"无",0,0))</x:f>
      </x:c>
      <x:c r="S22" s="220" t="str">
        <x:f>IF(COUNTA($A22:$M22)=0,"",SWITCH($J22,"高",15,"中高",12,"中",9,"低",4,"待核验",8,0))</x:f>
      </x:c>
      <x:c r="T22" s="220" t="str">
        <x:f>IF(COUNTA($A22:$M22)=0,"",SUM($O22:$S22))</x:f>
      </x:c>
      <x:c r="U22" s="221" t="str">
        <x:f>IF(COUNTA($A22:$M22)=0,"",IF($N22="","待补base",IF(OR($N22&lt;30,$T22&lt;70),"不投",IF($N22&lt;35,"备选",IF($T22&gt;=85,"优先约聊","备选")))))</x:f>
      </x:c>
      <x:c r="V22" s="195"/>
      <x:c r="W22" s="222"/>
      <x:c r="X22" s="195"/>
      <x:c r="Y22" s="180"/>
    </x:row>
    <x:row r="23" ht="15" hidden="0" customHeight="1">
      <x:c r="A23" s="217"/>
      <x:c r="B23" s="195"/>
      <x:c r="C23" s="195"/>
      <x:c r="D23" s="218"/>
      <x:c r="E23" s="195"/>
      <x:c r="F23" s="195"/>
      <x:c r="G23" s="195"/>
      <x:c r="H23" s="195"/>
      <x:c r="I23" s="195"/>
      <x:c r="J23" s="195"/>
      <x:c r="K23" s="219"/>
      <x:c r="L23" s="195"/>
      <x:c r="M23" s="195"/>
      <x:c r="N23" s="219"/>
      <x:c r="O23" s="220" t="str">
        <x:f>IF(COUNTA($A23:$M23)=0,"",IF($N23="","待补",IF($N23&gt;=40,25,IF($N23&gt;=35,22,IF($N23&gt;=30,10,0)))))</x:f>
      </x:c>
      <x:c r="P23" s="220" t="str">
        <x:f>IF(COUNTA($A23:$M23)=0,"",IF(ISNUMBER($D23),IF($D23&lt;=45,20,IF($D23&lt;=60,14,IF($D23&lt;=75,8,3))),IF(OR(ISNUMBER(SEARCH("兴隆湖",$C23)),ISNUMBER(SEARCH("科学城",$C23))),20,IF(ISNUMBER(SEARCH("天府新区",$C23)),18,IF(OR(ISNUMBER(SEARCH("新川",$C23)),ISNUMBER(SEARCH("天府软件园",$C23)),ISNUMBER(SEARCH("高新南",$C23)),ISNUMBER(SEARCH("金融城",$C23))),12,5)))))</x:f>
      </x:c>
      <x:c r="Q23" s="220" t="str">
        <x:f>IF(COUNTA($A23:$M23)=0,"",SWITCH($H23,"核心",20,"强相关",16,"一般",10,"弱相关",5,"无",0,0))</x:f>
      </x:c>
      <x:c r="R23" s="220" t="str">
        <x:f>IF(COUNTA($A23:$M23)=0,"",SWITCH($I23,"核心",20,"强相关",16,"一般",10,"弱相关",5,"无",0,0))</x:f>
      </x:c>
      <x:c r="S23" s="220" t="str">
        <x:f>IF(COUNTA($A23:$M23)=0,"",SWITCH($J23,"高",15,"中高",12,"中",9,"低",4,"待核验",8,0))</x:f>
      </x:c>
      <x:c r="T23" s="220" t="str">
        <x:f>IF(COUNTA($A23:$M23)=0,"",SUM($O23:$S23))</x:f>
      </x:c>
      <x:c r="U23" s="221" t="str">
        <x:f>IF(COUNTA($A23:$M23)=0,"",IF($N23="","待补base",IF(OR($N23&lt;30,$T23&lt;70),"不投",IF($N23&lt;35,"备选",IF($T23&gt;=85,"优先约聊","备选")))))</x:f>
      </x:c>
      <x:c r="V23" s="195"/>
      <x:c r="W23" s="222"/>
      <x:c r="X23" s="195"/>
      <x:c r="Y23" s="180"/>
    </x:row>
    <x:row r="24" ht="15" hidden="0" customHeight="1">
      <x:c r="A24" s="217"/>
      <x:c r="B24" s="195"/>
      <x:c r="C24" s="195"/>
      <x:c r="D24" s="218"/>
      <x:c r="E24" s="195"/>
      <x:c r="F24" s="195"/>
      <x:c r="G24" s="195"/>
      <x:c r="H24" s="195"/>
      <x:c r="I24" s="195"/>
      <x:c r="J24" s="195"/>
      <x:c r="K24" s="219"/>
      <x:c r="L24" s="195"/>
      <x:c r="M24" s="195"/>
      <x:c r="N24" s="219"/>
      <x:c r="O24" s="220" t="str">
        <x:f>IF(COUNTA($A24:$M24)=0,"",IF($N24="","待补",IF($N24&gt;=40,25,IF($N24&gt;=35,22,IF($N24&gt;=30,10,0)))))</x:f>
      </x:c>
      <x:c r="P24" s="220" t="str">
        <x:f>IF(COUNTA($A24:$M24)=0,"",IF(ISNUMBER($D24),IF($D24&lt;=45,20,IF($D24&lt;=60,14,IF($D24&lt;=75,8,3))),IF(OR(ISNUMBER(SEARCH("兴隆湖",$C24)),ISNUMBER(SEARCH("科学城",$C24))),20,IF(ISNUMBER(SEARCH("天府新区",$C24)),18,IF(OR(ISNUMBER(SEARCH("新川",$C24)),ISNUMBER(SEARCH("天府软件园",$C24)),ISNUMBER(SEARCH("高新南",$C24)),ISNUMBER(SEARCH("金融城",$C24))),12,5)))))</x:f>
      </x:c>
      <x:c r="Q24" s="220" t="str">
        <x:f>IF(COUNTA($A24:$M24)=0,"",SWITCH($H24,"核心",20,"强相关",16,"一般",10,"弱相关",5,"无",0,0))</x:f>
      </x:c>
      <x:c r="R24" s="220" t="str">
        <x:f>IF(COUNTA($A24:$M24)=0,"",SWITCH($I24,"核心",20,"强相关",16,"一般",10,"弱相关",5,"无",0,0))</x:f>
      </x:c>
      <x:c r="S24" s="220" t="str">
        <x:f>IF(COUNTA($A24:$M24)=0,"",SWITCH($J24,"高",15,"中高",12,"中",9,"低",4,"待核验",8,0))</x:f>
      </x:c>
      <x:c r="T24" s="220" t="str">
        <x:f>IF(COUNTA($A24:$M24)=0,"",SUM($O24:$S24))</x:f>
      </x:c>
      <x:c r="U24" s="221" t="str">
        <x:f>IF(COUNTA($A24:$M24)=0,"",IF($N24="","待补base",IF(OR($N24&lt;30,$T24&lt;70),"不投",IF($N24&lt;35,"备选",IF($T24&gt;=85,"优先约聊","备选")))))</x:f>
      </x:c>
      <x:c r="V24" s="195"/>
      <x:c r="W24" s="222"/>
      <x:c r="X24" s="195"/>
      <x:c r="Y24" s="180"/>
    </x:row>
    <x:row r="25" ht="15" hidden="0" customHeight="1">
      <x:c r="A25" s="217"/>
      <x:c r="B25" s="195"/>
      <x:c r="C25" s="195"/>
      <x:c r="D25" s="218"/>
      <x:c r="E25" s="195"/>
      <x:c r="F25" s="195"/>
      <x:c r="G25" s="195"/>
      <x:c r="H25" s="195"/>
      <x:c r="I25" s="195"/>
      <x:c r="J25" s="195"/>
      <x:c r="K25" s="219"/>
      <x:c r="L25" s="195"/>
      <x:c r="M25" s="195"/>
      <x:c r="N25" s="219"/>
      <x:c r="O25" s="220" t="str">
        <x:f>IF(COUNTA($A25:$M25)=0,"",IF($N25="","待补",IF($N25&gt;=40,25,IF($N25&gt;=35,22,IF($N25&gt;=30,10,0)))))</x:f>
      </x:c>
      <x:c r="P25" s="220" t="str">
        <x:f>IF(COUNTA($A25:$M25)=0,"",IF(ISNUMBER($D25),IF($D25&lt;=45,20,IF($D25&lt;=60,14,IF($D25&lt;=75,8,3))),IF(OR(ISNUMBER(SEARCH("兴隆湖",$C25)),ISNUMBER(SEARCH("科学城",$C25))),20,IF(ISNUMBER(SEARCH("天府新区",$C25)),18,IF(OR(ISNUMBER(SEARCH("新川",$C25)),ISNUMBER(SEARCH("天府软件园",$C25)),ISNUMBER(SEARCH("高新南",$C25)),ISNUMBER(SEARCH("金融城",$C25))),12,5)))))</x:f>
      </x:c>
      <x:c r="Q25" s="220" t="str">
        <x:f>IF(COUNTA($A25:$M25)=0,"",SWITCH($H25,"核心",20,"强相关",16,"一般",10,"弱相关",5,"无",0,0))</x:f>
      </x:c>
      <x:c r="R25" s="220" t="str">
        <x:f>IF(COUNTA($A25:$M25)=0,"",SWITCH($I25,"核心",20,"强相关",16,"一般",10,"弱相关",5,"无",0,0))</x:f>
      </x:c>
      <x:c r="S25" s="220" t="str">
        <x:f>IF(COUNTA($A25:$M25)=0,"",SWITCH($J25,"高",15,"中高",12,"中",9,"低",4,"待核验",8,0))</x:f>
      </x:c>
      <x:c r="T25" s="220" t="str">
        <x:f>IF(COUNTA($A25:$M25)=0,"",SUM($O25:$S25))</x:f>
      </x:c>
      <x:c r="U25" s="221" t="str">
        <x:f>IF(COUNTA($A25:$M25)=0,"",IF($N25="","待补base",IF(OR($N25&lt;30,$T25&lt;70),"不投",IF($N25&lt;35,"备选",IF($T25&gt;=85,"优先约聊","备选")))))</x:f>
      </x:c>
      <x:c r="V25" s="195"/>
      <x:c r="W25" s="222"/>
      <x:c r="X25" s="195"/>
      <x:c r="Y25" s="180"/>
    </x:row>
    <x:row r="26" ht="15" hidden="0" customHeight="1">
      <x:c r="A26" s="217"/>
      <x:c r="B26" s="195"/>
      <x:c r="C26" s="195"/>
      <x:c r="D26" s="218"/>
      <x:c r="E26" s="195"/>
      <x:c r="F26" s="195"/>
      <x:c r="G26" s="195"/>
      <x:c r="H26" s="195"/>
      <x:c r="I26" s="195"/>
      <x:c r="J26" s="195"/>
      <x:c r="K26" s="219"/>
      <x:c r="L26" s="195"/>
      <x:c r="M26" s="195"/>
      <x:c r="N26" s="219"/>
      <x:c r="O26" s="220" t="str">
        <x:f>IF(COUNTA($A26:$M26)=0,"",IF($N26="","待补",IF($N26&gt;=40,25,IF($N26&gt;=35,22,IF($N26&gt;=30,10,0)))))</x:f>
      </x:c>
      <x:c r="P26" s="220" t="str">
        <x:f>IF(COUNTA($A26:$M26)=0,"",IF(ISNUMBER($D26),IF($D26&lt;=45,20,IF($D26&lt;=60,14,IF($D26&lt;=75,8,3))),IF(OR(ISNUMBER(SEARCH("兴隆湖",$C26)),ISNUMBER(SEARCH("科学城",$C26))),20,IF(ISNUMBER(SEARCH("天府新区",$C26)),18,IF(OR(ISNUMBER(SEARCH("新川",$C26)),ISNUMBER(SEARCH("天府软件园",$C26)),ISNUMBER(SEARCH("高新南",$C26)),ISNUMBER(SEARCH("金融城",$C26))),12,5)))))</x:f>
      </x:c>
      <x:c r="Q26" s="220" t="str">
        <x:f>IF(COUNTA($A26:$M26)=0,"",SWITCH($H26,"核心",20,"强相关",16,"一般",10,"弱相关",5,"无",0,0))</x:f>
      </x:c>
      <x:c r="R26" s="220" t="str">
        <x:f>IF(COUNTA($A26:$M26)=0,"",SWITCH($I26,"核心",20,"强相关",16,"一般",10,"弱相关",5,"无",0,0))</x:f>
      </x:c>
      <x:c r="S26" s="220" t="str">
        <x:f>IF(COUNTA($A26:$M26)=0,"",SWITCH($J26,"高",15,"中高",12,"中",9,"低",4,"待核验",8,0))</x:f>
      </x:c>
      <x:c r="T26" s="220" t="str">
        <x:f>IF(COUNTA($A26:$M26)=0,"",SUM($O26:$S26))</x:f>
      </x:c>
      <x:c r="U26" s="221" t="str">
        <x:f>IF(COUNTA($A26:$M26)=0,"",IF($N26="","待补base",IF(OR($N26&lt;30,$T26&lt;70),"不投",IF($N26&lt;35,"备选",IF($T26&gt;=85,"优先约聊","备选")))))</x:f>
      </x:c>
      <x:c r="V26" s="195"/>
      <x:c r="W26" s="222"/>
      <x:c r="X26" s="195"/>
      <x:c r="Y26" s="180"/>
    </x:row>
    <x:row r="27" ht="15" hidden="0" customHeight="1">
      <x:c r="A27" s="217"/>
      <x:c r="B27" s="195"/>
      <x:c r="C27" s="195"/>
      <x:c r="D27" s="218"/>
      <x:c r="E27" s="195"/>
      <x:c r="F27" s="195"/>
      <x:c r="G27" s="195"/>
      <x:c r="H27" s="195"/>
      <x:c r="I27" s="195"/>
      <x:c r="J27" s="195"/>
      <x:c r="K27" s="219"/>
      <x:c r="L27" s="195"/>
      <x:c r="M27" s="195"/>
      <x:c r="N27" s="219"/>
      <x:c r="O27" s="220" t="str">
        <x:f>IF(COUNTA($A27:$M27)=0,"",IF($N27="","待补",IF($N27&gt;=40,25,IF($N27&gt;=35,22,IF($N27&gt;=30,10,0)))))</x:f>
      </x:c>
      <x:c r="P27" s="220" t="str">
        <x:f>IF(COUNTA($A27:$M27)=0,"",IF(ISNUMBER($D27),IF($D27&lt;=45,20,IF($D27&lt;=60,14,IF($D27&lt;=75,8,3))),IF(OR(ISNUMBER(SEARCH("兴隆湖",$C27)),ISNUMBER(SEARCH("科学城",$C27))),20,IF(ISNUMBER(SEARCH("天府新区",$C27)),18,IF(OR(ISNUMBER(SEARCH("新川",$C27)),ISNUMBER(SEARCH("天府软件园",$C27)),ISNUMBER(SEARCH("高新南",$C27)),ISNUMBER(SEARCH("金融城",$C27))),12,5)))))</x:f>
      </x:c>
      <x:c r="Q27" s="220" t="str">
        <x:f>IF(COUNTA($A27:$M27)=0,"",SWITCH($H27,"核心",20,"强相关",16,"一般",10,"弱相关",5,"无",0,0))</x:f>
      </x:c>
      <x:c r="R27" s="220" t="str">
        <x:f>IF(COUNTA($A27:$M27)=0,"",SWITCH($I27,"核心",20,"强相关",16,"一般",10,"弱相关",5,"无",0,0))</x:f>
      </x:c>
      <x:c r="S27" s="220" t="str">
        <x:f>IF(COUNTA($A27:$M27)=0,"",SWITCH($J27,"高",15,"中高",12,"中",9,"低",4,"待核验",8,0))</x:f>
      </x:c>
      <x:c r="T27" s="220" t="str">
        <x:f>IF(COUNTA($A27:$M27)=0,"",SUM($O27:$S27))</x:f>
      </x:c>
      <x:c r="U27" s="221" t="str">
        <x:f>IF(COUNTA($A27:$M27)=0,"",IF($N27="","待补base",IF(OR($N27&lt;30,$T27&lt;70),"不投",IF($N27&lt;35,"备选",IF($T27&gt;=85,"优先约聊","备选")))))</x:f>
      </x:c>
      <x:c r="V27" s="195"/>
      <x:c r="W27" s="222"/>
      <x:c r="X27" s="195"/>
      <x:c r="Y27" s="180"/>
    </x:row>
    <x:row r="28" ht="15" hidden="0" customHeight="1">
      <x:c r="A28" s="217"/>
      <x:c r="B28" s="195"/>
      <x:c r="C28" s="195"/>
      <x:c r="D28" s="218"/>
      <x:c r="E28" s="195"/>
      <x:c r="F28" s="195"/>
      <x:c r="G28" s="195"/>
      <x:c r="H28" s="195"/>
      <x:c r="I28" s="195"/>
      <x:c r="J28" s="195"/>
      <x:c r="K28" s="219"/>
      <x:c r="L28" s="195"/>
      <x:c r="M28" s="195"/>
      <x:c r="N28" s="219"/>
      <x:c r="O28" s="220" t="str">
        <x:f>IF(COUNTA($A28:$M28)=0,"",IF($N28="","待补",IF($N28&gt;=40,25,IF($N28&gt;=35,22,IF($N28&gt;=30,10,0)))))</x:f>
      </x:c>
      <x:c r="P28" s="220" t="str">
        <x:f>IF(COUNTA($A28:$M28)=0,"",IF(ISNUMBER($D28),IF($D28&lt;=45,20,IF($D28&lt;=60,14,IF($D28&lt;=75,8,3))),IF(OR(ISNUMBER(SEARCH("兴隆湖",$C28)),ISNUMBER(SEARCH("科学城",$C28))),20,IF(ISNUMBER(SEARCH("天府新区",$C28)),18,IF(OR(ISNUMBER(SEARCH("新川",$C28)),ISNUMBER(SEARCH("天府软件园",$C28)),ISNUMBER(SEARCH("高新南",$C28)),ISNUMBER(SEARCH("金融城",$C28))),12,5)))))</x:f>
      </x:c>
      <x:c r="Q28" s="220" t="str">
        <x:f>IF(COUNTA($A28:$M28)=0,"",SWITCH($H28,"核心",20,"强相关",16,"一般",10,"弱相关",5,"无",0,0))</x:f>
      </x:c>
      <x:c r="R28" s="220" t="str">
        <x:f>IF(COUNTA($A28:$M28)=0,"",SWITCH($I28,"核心",20,"强相关",16,"一般",10,"弱相关",5,"无",0,0))</x:f>
      </x:c>
      <x:c r="S28" s="220" t="str">
        <x:f>IF(COUNTA($A28:$M28)=0,"",SWITCH($J28,"高",15,"中高",12,"中",9,"低",4,"待核验",8,0))</x:f>
      </x:c>
      <x:c r="T28" s="220" t="str">
        <x:f>IF(COUNTA($A28:$M28)=0,"",SUM($O28:$S28))</x:f>
      </x:c>
      <x:c r="U28" s="221" t="str">
        <x:f>IF(COUNTA($A28:$M28)=0,"",IF($N28="","待补base",IF(OR($N28&lt;30,$T28&lt;70),"不投",IF($N28&lt;35,"备选",IF($T28&gt;=85,"优先约聊","备选")))))</x:f>
      </x:c>
      <x:c r="V28" s="195"/>
      <x:c r="W28" s="222"/>
      <x:c r="X28" s="195"/>
      <x:c r="Y28" s="180"/>
    </x:row>
    <x:row r="29" ht="15" hidden="0" customHeight="1">
      <x:c r="A29" s="217"/>
      <x:c r="B29" s="195"/>
      <x:c r="C29" s="195"/>
      <x:c r="D29" s="218"/>
      <x:c r="E29" s="195"/>
      <x:c r="F29" s="195"/>
      <x:c r="G29" s="195"/>
      <x:c r="H29" s="195"/>
      <x:c r="I29" s="195"/>
      <x:c r="J29" s="195"/>
      <x:c r="K29" s="219"/>
      <x:c r="L29" s="195"/>
      <x:c r="M29" s="195"/>
      <x:c r="N29" s="219"/>
      <x:c r="O29" s="220" t="str">
        <x:f>IF(COUNTA($A29:$M29)=0,"",IF($N29="","待补",IF($N29&gt;=40,25,IF($N29&gt;=35,22,IF($N29&gt;=30,10,0)))))</x:f>
      </x:c>
      <x:c r="P29" s="220" t="str">
        <x:f>IF(COUNTA($A29:$M29)=0,"",IF(ISNUMBER($D29),IF($D29&lt;=45,20,IF($D29&lt;=60,14,IF($D29&lt;=75,8,3))),IF(OR(ISNUMBER(SEARCH("兴隆湖",$C29)),ISNUMBER(SEARCH("科学城",$C29))),20,IF(ISNUMBER(SEARCH("天府新区",$C29)),18,IF(OR(ISNUMBER(SEARCH("新川",$C29)),ISNUMBER(SEARCH("天府软件园",$C29)),ISNUMBER(SEARCH("高新南",$C29)),ISNUMBER(SEARCH("金融城",$C29))),12,5)))))</x:f>
      </x:c>
      <x:c r="Q29" s="220" t="str">
        <x:f>IF(COUNTA($A29:$M29)=0,"",SWITCH($H29,"核心",20,"强相关",16,"一般",10,"弱相关",5,"无",0,0))</x:f>
      </x:c>
      <x:c r="R29" s="220" t="str">
        <x:f>IF(COUNTA($A29:$M29)=0,"",SWITCH($I29,"核心",20,"强相关",16,"一般",10,"弱相关",5,"无",0,0))</x:f>
      </x:c>
      <x:c r="S29" s="220" t="str">
        <x:f>IF(COUNTA($A29:$M29)=0,"",SWITCH($J29,"高",15,"中高",12,"中",9,"低",4,"待核验",8,0))</x:f>
      </x:c>
      <x:c r="T29" s="220" t="str">
        <x:f>IF(COUNTA($A29:$M29)=0,"",SUM($O29:$S29))</x:f>
      </x:c>
      <x:c r="U29" s="221" t="str">
        <x:f>IF(COUNTA($A29:$M29)=0,"",IF($N29="","待补base",IF(OR($N29&lt;30,$T29&lt;70),"不投",IF($N29&lt;35,"备选",IF($T29&gt;=85,"优先约聊","备选")))))</x:f>
      </x:c>
      <x:c r="V29" s="195"/>
      <x:c r="W29" s="222"/>
      <x:c r="X29" s="195"/>
      <x:c r="Y29" s="180"/>
    </x:row>
    <x:row r="30" ht="15" hidden="0" customHeight="1">
      <x:c r="A30" s="217"/>
      <x:c r="B30" s="195"/>
      <x:c r="C30" s="195"/>
      <x:c r="D30" s="218"/>
      <x:c r="E30" s="195"/>
      <x:c r="F30" s="195"/>
      <x:c r="G30" s="195"/>
      <x:c r="H30" s="195"/>
      <x:c r="I30" s="195"/>
      <x:c r="J30" s="195"/>
      <x:c r="K30" s="219"/>
      <x:c r="L30" s="195"/>
      <x:c r="M30" s="195"/>
      <x:c r="N30" s="219"/>
      <x:c r="O30" s="220" t="str">
        <x:f>IF(COUNTA($A30:$M30)=0,"",IF($N30="","待补",IF($N30&gt;=40,25,IF($N30&gt;=35,22,IF($N30&gt;=30,10,0)))))</x:f>
      </x:c>
      <x:c r="P30" s="220" t="str">
        <x:f>IF(COUNTA($A30:$M30)=0,"",IF(ISNUMBER($D30),IF($D30&lt;=45,20,IF($D30&lt;=60,14,IF($D30&lt;=75,8,3))),IF(OR(ISNUMBER(SEARCH("兴隆湖",$C30)),ISNUMBER(SEARCH("科学城",$C30))),20,IF(ISNUMBER(SEARCH("天府新区",$C30)),18,IF(OR(ISNUMBER(SEARCH("新川",$C30)),ISNUMBER(SEARCH("天府软件园",$C30)),ISNUMBER(SEARCH("高新南",$C30)),ISNUMBER(SEARCH("金融城",$C30))),12,5)))))</x:f>
      </x:c>
      <x:c r="Q30" s="220" t="str">
        <x:f>IF(COUNTA($A30:$M30)=0,"",SWITCH($H30,"核心",20,"强相关",16,"一般",10,"弱相关",5,"无",0,0))</x:f>
      </x:c>
      <x:c r="R30" s="220" t="str">
        <x:f>IF(COUNTA($A30:$M30)=0,"",SWITCH($I30,"核心",20,"强相关",16,"一般",10,"弱相关",5,"无",0,0))</x:f>
      </x:c>
      <x:c r="S30" s="220" t="str">
        <x:f>IF(COUNTA($A30:$M30)=0,"",SWITCH($J30,"高",15,"中高",12,"中",9,"低",4,"待核验",8,0))</x:f>
      </x:c>
      <x:c r="T30" s="220" t="str">
        <x:f>IF(COUNTA($A30:$M30)=0,"",SUM($O30:$S30))</x:f>
      </x:c>
      <x:c r="U30" s="221" t="str">
        <x:f>IF(COUNTA($A30:$M30)=0,"",IF($N30="","待补base",IF(OR($N30&lt;30,$T30&lt;70),"不投",IF($N30&lt;35,"备选",IF($T30&gt;=85,"优先约聊","备选")))))</x:f>
      </x:c>
      <x:c r="V30" s="195"/>
      <x:c r="W30" s="222"/>
      <x:c r="X30" s="195"/>
      <x:c r="Y30" s="180"/>
    </x:row>
    <x:row r="31" ht="15" hidden="0" customHeight="1">
      <x:c r="A31" s="217"/>
      <x:c r="B31" s="195"/>
      <x:c r="C31" s="195"/>
      <x:c r="D31" s="218"/>
      <x:c r="E31" s="195"/>
      <x:c r="F31" s="195"/>
      <x:c r="G31" s="195"/>
      <x:c r="H31" s="195"/>
      <x:c r="I31" s="195"/>
      <x:c r="J31" s="195"/>
      <x:c r="K31" s="219"/>
      <x:c r="L31" s="195"/>
      <x:c r="M31" s="195"/>
      <x:c r="N31" s="219"/>
      <x:c r="O31" s="220" t="str">
        <x:f>IF(COUNTA($A31:$M31)=0,"",IF($N31="","待补",IF($N31&gt;=40,25,IF($N31&gt;=35,22,IF($N31&gt;=30,10,0)))))</x:f>
      </x:c>
      <x:c r="P31" s="220" t="str">
        <x:f>IF(COUNTA($A31:$M31)=0,"",IF(ISNUMBER($D31),IF($D31&lt;=45,20,IF($D31&lt;=60,14,IF($D31&lt;=75,8,3))),IF(OR(ISNUMBER(SEARCH("兴隆湖",$C31)),ISNUMBER(SEARCH("科学城",$C31))),20,IF(ISNUMBER(SEARCH("天府新区",$C31)),18,IF(OR(ISNUMBER(SEARCH("新川",$C31)),ISNUMBER(SEARCH("天府软件园",$C31)),ISNUMBER(SEARCH("高新南",$C31)),ISNUMBER(SEARCH("金融城",$C31))),12,5)))))</x:f>
      </x:c>
      <x:c r="Q31" s="220" t="str">
        <x:f>IF(COUNTA($A31:$M31)=0,"",SWITCH($H31,"核心",20,"强相关",16,"一般",10,"弱相关",5,"无",0,0))</x:f>
      </x:c>
      <x:c r="R31" s="220" t="str">
        <x:f>IF(COUNTA($A31:$M31)=0,"",SWITCH($I31,"核心",20,"强相关",16,"一般",10,"弱相关",5,"无",0,0))</x:f>
      </x:c>
      <x:c r="S31" s="220" t="str">
        <x:f>IF(COUNTA($A31:$M31)=0,"",SWITCH($J31,"高",15,"中高",12,"中",9,"低",4,"待核验",8,0))</x:f>
      </x:c>
      <x:c r="T31" s="220" t="str">
        <x:f>IF(COUNTA($A31:$M31)=0,"",SUM($O31:$S31))</x:f>
      </x:c>
      <x:c r="U31" s="221" t="str">
        <x:f>IF(COUNTA($A31:$M31)=0,"",IF($N31="","待补base",IF(OR($N31&lt;30,$T31&lt;70),"不投",IF($N31&lt;35,"备选",IF($T31&gt;=85,"优先约聊","备选")))))</x:f>
      </x:c>
      <x:c r="V31" s="195"/>
      <x:c r="W31" s="222"/>
      <x:c r="X31" s="195"/>
      <x:c r="Y31" s="180"/>
    </x:row>
    <x:row r="32" ht="15" hidden="0" customHeight="1">
      <x:c r="A32" s="217"/>
      <x:c r="B32" s="195"/>
      <x:c r="C32" s="195"/>
      <x:c r="D32" s="218"/>
      <x:c r="E32" s="195"/>
      <x:c r="F32" s="195"/>
      <x:c r="G32" s="195"/>
      <x:c r="H32" s="195"/>
      <x:c r="I32" s="195"/>
      <x:c r="J32" s="195"/>
      <x:c r="K32" s="219"/>
      <x:c r="L32" s="195"/>
      <x:c r="M32" s="195"/>
      <x:c r="N32" s="219"/>
      <x:c r="O32" s="220" t="str">
        <x:f>IF(COUNTA($A32:$M32)=0,"",IF($N32="","待补",IF($N32&gt;=40,25,IF($N32&gt;=35,22,IF($N32&gt;=30,10,0)))))</x:f>
      </x:c>
      <x:c r="P32" s="220" t="str">
        <x:f>IF(COUNTA($A32:$M32)=0,"",IF(ISNUMBER($D32),IF($D32&lt;=45,20,IF($D32&lt;=60,14,IF($D32&lt;=75,8,3))),IF(OR(ISNUMBER(SEARCH("兴隆湖",$C32)),ISNUMBER(SEARCH("科学城",$C32))),20,IF(ISNUMBER(SEARCH("天府新区",$C32)),18,IF(OR(ISNUMBER(SEARCH("新川",$C32)),ISNUMBER(SEARCH("天府软件园",$C32)),ISNUMBER(SEARCH("高新南",$C32)),ISNUMBER(SEARCH("金融城",$C32))),12,5)))))</x:f>
      </x:c>
      <x:c r="Q32" s="220" t="str">
        <x:f>IF(COUNTA($A32:$M32)=0,"",SWITCH($H32,"核心",20,"强相关",16,"一般",10,"弱相关",5,"无",0,0))</x:f>
      </x:c>
      <x:c r="R32" s="220" t="str">
        <x:f>IF(COUNTA($A32:$M32)=0,"",SWITCH($I32,"核心",20,"强相关",16,"一般",10,"弱相关",5,"无",0,0))</x:f>
      </x:c>
      <x:c r="S32" s="220" t="str">
        <x:f>IF(COUNTA($A32:$M32)=0,"",SWITCH($J32,"高",15,"中高",12,"中",9,"低",4,"待核验",8,0))</x:f>
      </x:c>
      <x:c r="T32" s="220" t="str">
        <x:f>IF(COUNTA($A32:$M32)=0,"",SUM($O32:$S32))</x:f>
      </x:c>
      <x:c r="U32" s="221" t="str">
        <x:f>IF(COUNTA($A32:$M32)=0,"",IF($N32="","待补base",IF(OR($N32&lt;30,$T32&lt;70),"不投",IF($N32&lt;35,"备选",IF($T32&gt;=85,"优先约聊","备选")))))</x:f>
      </x:c>
      <x:c r="V32" s="195"/>
      <x:c r="W32" s="222"/>
      <x:c r="X32" s="195"/>
      <x:c r="Y32" s="180"/>
    </x:row>
    <x:row r="33" ht="15" hidden="0" customHeight="1">
      <x:c r="A33" s="217"/>
      <x:c r="B33" s="195"/>
      <x:c r="C33" s="195"/>
      <x:c r="D33" s="218"/>
      <x:c r="E33" s="195"/>
      <x:c r="F33" s="195"/>
      <x:c r="G33" s="195"/>
      <x:c r="H33" s="195"/>
      <x:c r="I33" s="195"/>
      <x:c r="J33" s="195"/>
      <x:c r="K33" s="219"/>
      <x:c r="L33" s="195"/>
      <x:c r="M33" s="195"/>
      <x:c r="N33" s="219"/>
      <x:c r="O33" s="220" t="str">
        <x:f>IF(COUNTA($A33:$M33)=0,"",IF($N33="","待补",IF($N33&gt;=40,25,IF($N33&gt;=35,22,IF($N33&gt;=30,10,0)))))</x:f>
      </x:c>
      <x:c r="P33" s="220" t="str">
        <x:f>IF(COUNTA($A33:$M33)=0,"",IF(ISNUMBER($D33),IF($D33&lt;=45,20,IF($D33&lt;=60,14,IF($D33&lt;=75,8,3))),IF(OR(ISNUMBER(SEARCH("兴隆湖",$C33)),ISNUMBER(SEARCH("科学城",$C33))),20,IF(ISNUMBER(SEARCH("天府新区",$C33)),18,IF(OR(ISNUMBER(SEARCH("新川",$C33)),ISNUMBER(SEARCH("天府软件园",$C33)),ISNUMBER(SEARCH("高新南",$C33)),ISNUMBER(SEARCH("金融城",$C33))),12,5)))))</x:f>
      </x:c>
      <x:c r="Q33" s="220" t="str">
        <x:f>IF(COUNTA($A33:$M33)=0,"",SWITCH($H33,"核心",20,"强相关",16,"一般",10,"弱相关",5,"无",0,0))</x:f>
      </x:c>
      <x:c r="R33" s="220" t="str">
        <x:f>IF(COUNTA($A33:$M33)=0,"",SWITCH($I33,"核心",20,"强相关",16,"一般",10,"弱相关",5,"无",0,0))</x:f>
      </x:c>
      <x:c r="S33" s="220" t="str">
        <x:f>IF(COUNTA($A33:$M33)=0,"",SWITCH($J33,"高",15,"中高",12,"中",9,"低",4,"待核验",8,0))</x:f>
      </x:c>
      <x:c r="T33" s="220" t="str">
        <x:f>IF(COUNTA($A33:$M33)=0,"",SUM($O33:$S33))</x:f>
      </x:c>
      <x:c r="U33" s="221" t="str">
        <x:f>IF(COUNTA($A33:$M33)=0,"",IF($N33="","待补base",IF(OR($N33&lt;30,$T33&lt;70),"不投",IF($N33&lt;35,"备选",IF($T33&gt;=85,"优先约聊","备选")))))</x:f>
      </x:c>
      <x:c r="V33" s="195"/>
      <x:c r="W33" s="222"/>
      <x:c r="X33" s="195"/>
      <x:c r="Y33" s="180"/>
    </x:row>
    <x:row r="34" ht="15" hidden="0" customHeight="1">
      <x:c r="A34" s="217"/>
      <x:c r="B34" s="195"/>
      <x:c r="C34" s="195"/>
      <x:c r="D34" s="218"/>
      <x:c r="E34" s="195"/>
      <x:c r="F34" s="195"/>
      <x:c r="G34" s="195"/>
      <x:c r="H34" s="195"/>
      <x:c r="I34" s="195"/>
      <x:c r="J34" s="195"/>
      <x:c r="K34" s="219"/>
      <x:c r="L34" s="195"/>
      <x:c r="M34" s="195"/>
      <x:c r="N34" s="219"/>
      <x:c r="O34" s="220" t="str">
        <x:f>IF(COUNTA($A34:$M34)=0,"",IF($N34="","待补",IF($N34&gt;=40,25,IF($N34&gt;=35,22,IF($N34&gt;=30,10,0)))))</x:f>
      </x:c>
      <x:c r="P34" s="220" t="str">
        <x:f>IF(COUNTA($A34:$M34)=0,"",IF(ISNUMBER($D34),IF($D34&lt;=45,20,IF($D34&lt;=60,14,IF($D34&lt;=75,8,3))),IF(OR(ISNUMBER(SEARCH("兴隆湖",$C34)),ISNUMBER(SEARCH("科学城",$C34))),20,IF(ISNUMBER(SEARCH("天府新区",$C34)),18,IF(OR(ISNUMBER(SEARCH("新川",$C34)),ISNUMBER(SEARCH("天府软件园",$C34)),ISNUMBER(SEARCH("高新南",$C34)),ISNUMBER(SEARCH("金融城",$C34))),12,5)))))</x:f>
      </x:c>
      <x:c r="Q34" s="220" t="str">
        <x:f>IF(COUNTA($A34:$M34)=0,"",SWITCH($H34,"核心",20,"强相关",16,"一般",10,"弱相关",5,"无",0,0))</x:f>
      </x:c>
      <x:c r="R34" s="220" t="str">
        <x:f>IF(COUNTA($A34:$M34)=0,"",SWITCH($I34,"核心",20,"强相关",16,"一般",10,"弱相关",5,"无",0,0))</x:f>
      </x:c>
      <x:c r="S34" s="220" t="str">
        <x:f>IF(COUNTA($A34:$M34)=0,"",SWITCH($J34,"高",15,"中高",12,"中",9,"低",4,"待核验",8,0))</x:f>
      </x:c>
      <x:c r="T34" s="220" t="str">
        <x:f>IF(COUNTA($A34:$M34)=0,"",SUM($O34:$S34))</x:f>
      </x:c>
      <x:c r="U34" s="221" t="str">
        <x:f>IF(COUNTA($A34:$M34)=0,"",IF($N34="","待补base",IF(OR($N34&lt;30,$T34&lt;70),"不投",IF($N34&lt;35,"备选",IF($T34&gt;=85,"优先约聊","备选")))))</x:f>
      </x:c>
      <x:c r="V34" s="195"/>
      <x:c r="W34" s="222"/>
      <x:c r="X34" s="195"/>
      <x:c r="Y34" s="180"/>
    </x:row>
    <x:row r="35" ht="15" hidden="0" customHeight="1">
      <x:c r="A35" s="217"/>
      <x:c r="B35" s="195"/>
      <x:c r="C35" s="195"/>
      <x:c r="D35" s="218"/>
      <x:c r="E35" s="195"/>
      <x:c r="F35" s="195"/>
      <x:c r="G35" s="195"/>
      <x:c r="H35" s="195"/>
      <x:c r="I35" s="195"/>
      <x:c r="J35" s="195"/>
      <x:c r="K35" s="219"/>
      <x:c r="L35" s="195"/>
      <x:c r="M35" s="195"/>
      <x:c r="N35" s="219"/>
      <x:c r="O35" s="220" t="str">
        <x:f>IF(COUNTA($A35:$M35)=0,"",IF($N35="","待补",IF($N35&gt;=40,25,IF($N35&gt;=35,22,IF($N35&gt;=30,10,0)))))</x:f>
      </x:c>
      <x:c r="P35" s="220" t="str">
        <x:f>IF(COUNTA($A35:$M35)=0,"",IF(ISNUMBER($D35),IF($D35&lt;=45,20,IF($D35&lt;=60,14,IF($D35&lt;=75,8,3))),IF(OR(ISNUMBER(SEARCH("兴隆湖",$C35)),ISNUMBER(SEARCH("科学城",$C35))),20,IF(ISNUMBER(SEARCH("天府新区",$C35)),18,IF(OR(ISNUMBER(SEARCH("新川",$C35)),ISNUMBER(SEARCH("天府软件园",$C35)),ISNUMBER(SEARCH("高新南",$C35)),ISNUMBER(SEARCH("金融城",$C35))),12,5)))))</x:f>
      </x:c>
      <x:c r="Q35" s="220" t="str">
        <x:f>IF(COUNTA($A35:$M35)=0,"",SWITCH($H35,"核心",20,"强相关",16,"一般",10,"弱相关",5,"无",0,0))</x:f>
      </x:c>
      <x:c r="R35" s="220" t="str">
        <x:f>IF(COUNTA($A35:$M35)=0,"",SWITCH($I35,"核心",20,"强相关",16,"一般",10,"弱相关",5,"无",0,0))</x:f>
      </x:c>
      <x:c r="S35" s="220" t="str">
        <x:f>IF(COUNTA($A35:$M35)=0,"",SWITCH($J35,"高",15,"中高",12,"中",9,"低",4,"待核验",8,0))</x:f>
      </x:c>
      <x:c r="T35" s="220" t="str">
        <x:f>IF(COUNTA($A35:$M35)=0,"",SUM($O35:$S35))</x:f>
      </x:c>
      <x:c r="U35" s="221" t="str">
        <x:f>IF(COUNTA($A35:$M35)=0,"",IF($N35="","待补base",IF(OR($N35&lt;30,$T35&lt;70),"不投",IF($N35&lt;35,"备选",IF($T35&gt;=85,"优先约聊","备选")))))</x:f>
      </x:c>
      <x:c r="V35" s="195"/>
      <x:c r="W35" s="222"/>
      <x:c r="X35" s="195"/>
      <x:c r="Y35" s="180"/>
    </x:row>
    <x:row r="36" ht="15" hidden="0" customHeight="1">
      <x:c r="A36" s="217"/>
      <x:c r="B36" s="195"/>
      <x:c r="C36" s="195"/>
      <x:c r="D36" s="218"/>
      <x:c r="E36" s="195"/>
      <x:c r="F36" s="195"/>
      <x:c r="G36" s="195"/>
      <x:c r="H36" s="195"/>
      <x:c r="I36" s="195"/>
      <x:c r="J36" s="195"/>
      <x:c r="K36" s="219"/>
      <x:c r="L36" s="195"/>
      <x:c r="M36" s="195"/>
      <x:c r="N36" s="219"/>
      <x:c r="O36" s="220" t="str">
        <x:f>IF(COUNTA($A36:$M36)=0,"",IF($N36="","待补",IF($N36&gt;=40,25,IF($N36&gt;=35,22,IF($N36&gt;=30,10,0)))))</x:f>
      </x:c>
      <x:c r="P36" s="220" t="str">
        <x:f>IF(COUNTA($A36:$M36)=0,"",IF(ISNUMBER($D36),IF($D36&lt;=45,20,IF($D36&lt;=60,14,IF($D36&lt;=75,8,3))),IF(OR(ISNUMBER(SEARCH("兴隆湖",$C36)),ISNUMBER(SEARCH("科学城",$C36))),20,IF(ISNUMBER(SEARCH("天府新区",$C36)),18,IF(OR(ISNUMBER(SEARCH("新川",$C36)),ISNUMBER(SEARCH("天府软件园",$C36)),ISNUMBER(SEARCH("高新南",$C36)),ISNUMBER(SEARCH("金融城",$C36))),12,5)))))</x:f>
      </x:c>
      <x:c r="Q36" s="220" t="str">
        <x:f>IF(COUNTA($A36:$M36)=0,"",SWITCH($H36,"核心",20,"强相关",16,"一般",10,"弱相关",5,"无",0,0))</x:f>
      </x:c>
      <x:c r="R36" s="220" t="str">
        <x:f>IF(COUNTA($A36:$M36)=0,"",SWITCH($I36,"核心",20,"强相关",16,"一般",10,"弱相关",5,"无",0,0))</x:f>
      </x:c>
      <x:c r="S36" s="220" t="str">
        <x:f>IF(COUNTA($A36:$M36)=0,"",SWITCH($J36,"高",15,"中高",12,"中",9,"低",4,"待核验",8,0))</x:f>
      </x:c>
      <x:c r="T36" s="220" t="str">
        <x:f>IF(COUNTA($A36:$M36)=0,"",SUM($O36:$S36))</x:f>
      </x:c>
      <x:c r="U36" s="221" t="str">
        <x:f>IF(COUNTA($A36:$M36)=0,"",IF($N36="","待补base",IF(OR($N36&lt;30,$T36&lt;70),"不投",IF($N36&lt;35,"备选",IF($T36&gt;=85,"优先约聊","备选")))))</x:f>
      </x:c>
      <x:c r="V36" s="195"/>
      <x:c r="W36" s="222"/>
      <x:c r="X36" s="195"/>
      <x:c r="Y36" s="180"/>
    </x:row>
    <x:row r="37" ht="15" hidden="0" customHeight="1">
      <x:c r="A37" s="217"/>
      <x:c r="B37" s="195"/>
      <x:c r="C37" s="195"/>
      <x:c r="D37" s="218"/>
      <x:c r="E37" s="195"/>
      <x:c r="F37" s="195"/>
      <x:c r="G37" s="195"/>
      <x:c r="H37" s="195"/>
      <x:c r="I37" s="195"/>
      <x:c r="J37" s="195"/>
      <x:c r="K37" s="219"/>
      <x:c r="L37" s="195"/>
      <x:c r="M37" s="195"/>
      <x:c r="N37" s="219"/>
      <x:c r="O37" s="220" t="str">
        <x:f>IF(COUNTA($A37:$M37)=0,"",IF($N37="","待补",IF($N37&gt;=40,25,IF($N37&gt;=35,22,IF($N37&gt;=30,10,0)))))</x:f>
      </x:c>
      <x:c r="P37" s="220" t="str">
        <x:f>IF(COUNTA($A37:$M37)=0,"",IF(ISNUMBER($D37),IF($D37&lt;=45,20,IF($D37&lt;=60,14,IF($D37&lt;=75,8,3))),IF(OR(ISNUMBER(SEARCH("兴隆湖",$C37)),ISNUMBER(SEARCH("科学城",$C37))),20,IF(ISNUMBER(SEARCH("天府新区",$C37)),18,IF(OR(ISNUMBER(SEARCH("新川",$C37)),ISNUMBER(SEARCH("天府软件园",$C37)),ISNUMBER(SEARCH("高新南",$C37)),ISNUMBER(SEARCH("金融城",$C37))),12,5)))))</x:f>
      </x:c>
      <x:c r="Q37" s="220" t="str">
        <x:f>IF(COUNTA($A37:$M37)=0,"",SWITCH($H37,"核心",20,"强相关",16,"一般",10,"弱相关",5,"无",0,0))</x:f>
      </x:c>
      <x:c r="R37" s="220" t="str">
        <x:f>IF(COUNTA($A37:$M37)=0,"",SWITCH($I37,"核心",20,"强相关",16,"一般",10,"弱相关",5,"无",0,0))</x:f>
      </x:c>
      <x:c r="S37" s="220" t="str">
        <x:f>IF(COUNTA($A37:$M37)=0,"",SWITCH($J37,"高",15,"中高",12,"中",9,"低",4,"待核验",8,0))</x:f>
      </x:c>
      <x:c r="T37" s="220" t="str">
        <x:f>IF(COUNTA($A37:$M37)=0,"",SUM($O37:$S37))</x:f>
      </x:c>
      <x:c r="U37" s="221" t="str">
        <x:f>IF(COUNTA($A37:$M37)=0,"",IF($N37="","待补base",IF(OR($N37&lt;30,$T37&lt;70),"不投",IF($N37&lt;35,"备选",IF($T37&gt;=85,"优先约聊","备选")))))</x:f>
      </x:c>
      <x:c r="V37" s="195"/>
      <x:c r="W37" s="222"/>
      <x:c r="X37" s="195"/>
      <x:c r="Y37" s="180"/>
    </x:row>
    <x:row r="38" ht="15" hidden="0" customHeight="1">
      <x:c r="A38" s="217"/>
      <x:c r="B38" s="195"/>
      <x:c r="C38" s="195"/>
      <x:c r="D38" s="218"/>
      <x:c r="E38" s="195"/>
      <x:c r="F38" s="195"/>
      <x:c r="G38" s="195"/>
      <x:c r="H38" s="195"/>
      <x:c r="I38" s="195"/>
      <x:c r="J38" s="195"/>
      <x:c r="K38" s="219"/>
      <x:c r="L38" s="195"/>
      <x:c r="M38" s="195"/>
      <x:c r="N38" s="219"/>
      <x:c r="O38" s="220" t="str">
        <x:f>IF(COUNTA($A38:$M38)=0,"",IF($N38="","待补",IF($N38&gt;=40,25,IF($N38&gt;=35,22,IF($N38&gt;=30,10,0)))))</x:f>
      </x:c>
      <x:c r="P38" s="220" t="str">
        <x:f>IF(COUNTA($A38:$M38)=0,"",IF(ISNUMBER($D38),IF($D38&lt;=45,20,IF($D38&lt;=60,14,IF($D38&lt;=75,8,3))),IF(OR(ISNUMBER(SEARCH("兴隆湖",$C38)),ISNUMBER(SEARCH("科学城",$C38))),20,IF(ISNUMBER(SEARCH("天府新区",$C38)),18,IF(OR(ISNUMBER(SEARCH("新川",$C38)),ISNUMBER(SEARCH("天府软件园",$C38)),ISNUMBER(SEARCH("高新南",$C38)),ISNUMBER(SEARCH("金融城",$C38))),12,5)))))</x:f>
      </x:c>
      <x:c r="Q38" s="220" t="str">
        <x:f>IF(COUNTA($A38:$M38)=0,"",SWITCH($H38,"核心",20,"强相关",16,"一般",10,"弱相关",5,"无",0,0))</x:f>
      </x:c>
      <x:c r="R38" s="220" t="str">
        <x:f>IF(COUNTA($A38:$M38)=0,"",SWITCH($I38,"核心",20,"强相关",16,"一般",10,"弱相关",5,"无",0,0))</x:f>
      </x:c>
      <x:c r="S38" s="220" t="str">
        <x:f>IF(COUNTA($A38:$M38)=0,"",SWITCH($J38,"高",15,"中高",12,"中",9,"低",4,"待核验",8,0))</x:f>
      </x:c>
      <x:c r="T38" s="220" t="str">
        <x:f>IF(COUNTA($A38:$M38)=0,"",SUM($O38:$S38))</x:f>
      </x:c>
      <x:c r="U38" s="221" t="str">
        <x:f>IF(COUNTA($A38:$M38)=0,"",IF($N38="","待补base",IF(OR($N38&lt;30,$T38&lt;70),"不投",IF($N38&lt;35,"备选",IF($T38&gt;=85,"优先约聊","备选")))))</x:f>
      </x:c>
      <x:c r="V38" s="195"/>
      <x:c r="W38" s="222"/>
      <x:c r="X38" s="195"/>
      <x:c r="Y38" s="180"/>
    </x:row>
    <x:row r="39" ht="15" hidden="0" customHeight="1">
      <x:c r="A39" s="217"/>
      <x:c r="B39" s="195"/>
      <x:c r="C39" s="195"/>
      <x:c r="D39" s="218"/>
      <x:c r="E39" s="195"/>
      <x:c r="F39" s="195"/>
      <x:c r="G39" s="195"/>
      <x:c r="H39" s="195"/>
      <x:c r="I39" s="195"/>
      <x:c r="J39" s="195"/>
      <x:c r="K39" s="219"/>
      <x:c r="L39" s="195"/>
      <x:c r="M39" s="195"/>
      <x:c r="N39" s="219"/>
      <x:c r="O39" s="220" t="str">
        <x:f>IF(COUNTA($A39:$M39)=0,"",IF($N39="","待补",IF($N39&gt;=40,25,IF($N39&gt;=35,22,IF($N39&gt;=30,10,0)))))</x:f>
      </x:c>
      <x:c r="P39" s="220" t="str">
        <x:f>IF(COUNTA($A39:$M39)=0,"",IF(ISNUMBER($D39),IF($D39&lt;=45,20,IF($D39&lt;=60,14,IF($D39&lt;=75,8,3))),IF(OR(ISNUMBER(SEARCH("兴隆湖",$C39)),ISNUMBER(SEARCH("科学城",$C39))),20,IF(ISNUMBER(SEARCH("天府新区",$C39)),18,IF(OR(ISNUMBER(SEARCH("新川",$C39)),ISNUMBER(SEARCH("天府软件园",$C39)),ISNUMBER(SEARCH("高新南",$C39)),ISNUMBER(SEARCH("金融城",$C39))),12,5)))))</x:f>
      </x:c>
      <x:c r="Q39" s="220" t="str">
        <x:f>IF(COUNTA($A39:$M39)=0,"",SWITCH($H39,"核心",20,"强相关",16,"一般",10,"弱相关",5,"无",0,0))</x:f>
      </x:c>
      <x:c r="R39" s="220" t="str">
        <x:f>IF(COUNTA($A39:$M39)=0,"",SWITCH($I39,"核心",20,"强相关",16,"一般",10,"弱相关",5,"无",0,0))</x:f>
      </x:c>
      <x:c r="S39" s="220" t="str">
        <x:f>IF(COUNTA($A39:$M39)=0,"",SWITCH($J39,"高",15,"中高",12,"中",9,"低",4,"待核验",8,0))</x:f>
      </x:c>
      <x:c r="T39" s="220" t="str">
        <x:f>IF(COUNTA($A39:$M39)=0,"",SUM($O39:$S39))</x:f>
      </x:c>
      <x:c r="U39" s="221" t="str">
        <x:f>IF(COUNTA($A39:$M39)=0,"",IF($N39="","待补base",IF(OR($N39&lt;30,$T39&lt;70),"不投",IF($N39&lt;35,"备选",IF($T39&gt;=85,"优先约聊","备选")))))</x:f>
      </x:c>
      <x:c r="V39" s="195"/>
      <x:c r="W39" s="222"/>
      <x:c r="X39" s="195"/>
      <x:c r="Y39" s="180"/>
    </x:row>
    <x:row r="40" ht="15" hidden="0" customHeight="1">
      <x:c r="A40" s="217"/>
      <x:c r="B40" s="195"/>
      <x:c r="C40" s="195"/>
      <x:c r="D40" s="218"/>
      <x:c r="E40" s="195"/>
      <x:c r="F40" s="195"/>
      <x:c r="G40" s="195"/>
      <x:c r="H40" s="195"/>
      <x:c r="I40" s="195"/>
      <x:c r="J40" s="195"/>
      <x:c r="K40" s="219"/>
      <x:c r="L40" s="195"/>
      <x:c r="M40" s="195"/>
      <x:c r="N40" s="219"/>
      <x:c r="O40" s="220" t="str">
        <x:f>IF(COUNTA($A40:$M40)=0,"",IF($N40="","待补",IF($N40&gt;=40,25,IF($N40&gt;=35,22,IF($N40&gt;=30,10,0)))))</x:f>
      </x:c>
      <x:c r="P40" s="220" t="str">
        <x:f>IF(COUNTA($A40:$M40)=0,"",IF(ISNUMBER($D40),IF($D40&lt;=45,20,IF($D40&lt;=60,14,IF($D40&lt;=75,8,3))),IF(OR(ISNUMBER(SEARCH("兴隆湖",$C40)),ISNUMBER(SEARCH("科学城",$C40))),20,IF(ISNUMBER(SEARCH("天府新区",$C40)),18,IF(OR(ISNUMBER(SEARCH("新川",$C40)),ISNUMBER(SEARCH("天府软件园",$C40)),ISNUMBER(SEARCH("高新南",$C40)),ISNUMBER(SEARCH("金融城",$C40))),12,5)))))</x:f>
      </x:c>
      <x:c r="Q40" s="220" t="str">
        <x:f>IF(COUNTA($A40:$M40)=0,"",SWITCH($H40,"核心",20,"强相关",16,"一般",10,"弱相关",5,"无",0,0))</x:f>
      </x:c>
      <x:c r="R40" s="220" t="str">
        <x:f>IF(COUNTA($A40:$M40)=0,"",SWITCH($I40,"核心",20,"强相关",16,"一般",10,"弱相关",5,"无",0,0))</x:f>
      </x:c>
      <x:c r="S40" s="220" t="str">
        <x:f>IF(COUNTA($A40:$M40)=0,"",SWITCH($J40,"高",15,"中高",12,"中",9,"低",4,"待核验",8,0))</x:f>
      </x:c>
      <x:c r="T40" s="220" t="str">
        <x:f>IF(COUNTA($A40:$M40)=0,"",SUM($O40:$S40))</x:f>
      </x:c>
      <x:c r="U40" s="221" t="str">
        <x:f>IF(COUNTA($A40:$M40)=0,"",IF($N40="","待补base",IF(OR($N40&lt;30,$T40&lt;70),"不投",IF($N40&lt;35,"备选",IF($T40&gt;=85,"优先约聊","备选")))))</x:f>
      </x:c>
      <x:c r="V40" s="195"/>
      <x:c r="W40" s="222"/>
      <x:c r="X40" s="195"/>
      <x:c r="Y40" s="180"/>
    </x:row>
    <x:row r="41" ht="15" hidden="0" customHeight="1">
      <x:c r="A41" s="217"/>
      <x:c r="B41" s="195"/>
      <x:c r="C41" s="195"/>
      <x:c r="D41" s="218"/>
      <x:c r="E41" s="195"/>
      <x:c r="F41" s="195"/>
      <x:c r="G41" s="195"/>
      <x:c r="H41" s="195"/>
      <x:c r="I41" s="195"/>
      <x:c r="J41" s="195"/>
      <x:c r="K41" s="219"/>
      <x:c r="L41" s="195"/>
      <x:c r="M41" s="195"/>
      <x:c r="N41" s="219"/>
      <x:c r="O41" s="220" t="str">
        <x:f>IF(COUNTA($A41:$M41)=0,"",IF($N41="","待补",IF($N41&gt;=40,25,IF($N41&gt;=35,22,IF($N41&gt;=30,10,0)))))</x:f>
      </x:c>
      <x:c r="P41" s="220" t="str">
        <x:f>IF(COUNTA($A41:$M41)=0,"",IF(ISNUMBER($D41),IF($D41&lt;=45,20,IF($D41&lt;=60,14,IF($D41&lt;=75,8,3))),IF(OR(ISNUMBER(SEARCH("兴隆湖",$C41)),ISNUMBER(SEARCH("科学城",$C41))),20,IF(ISNUMBER(SEARCH("天府新区",$C41)),18,IF(OR(ISNUMBER(SEARCH("新川",$C41)),ISNUMBER(SEARCH("天府软件园",$C41)),ISNUMBER(SEARCH("高新南",$C41)),ISNUMBER(SEARCH("金融城",$C41))),12,5)))))</x:f>
      </x:c>
      <x:c r="Q41" s="220" t="str">
        <x:f>IF(COUNTA($A41:$M41)=0,"",SWITCH($H41,"核心",20,"强相关",16,"一般",10,"弱相关",5,"无",0,0))</x:f>
      </x:c>
      <x:c r="R41" s="220" t="str">
        <x:f>IF(COUNTA($A41:$M41)=0,"",SWITCH($I41,"核心",20,"强相关",16,"一般",10,"弱相关",5,"无",0,0))</x:f>
      </x:c>
      <x:c r="S41" s="220" t="str">
        <x:f>IF(COUNTA($A41:$M41)=0,"",SWITCH($J41,"高",15,"中高",12,"中",9,"低",4,"待核验",8,0))</x:f>
      </x:c>
      <x:c r="T41" s="220" t="str">
        <x:f>IF(COUNTA($A41:$M41)=0,"",SUM($O41:$S41))</x:f>
      </x:c>
      <x:c r="U41" s="221" t="str">
        <x:f>IF(COUNTA($A41:$M41)=0,"",IF($N41="","待补base",IF(OR($N41&lt;30,$T41&lt;70),"不投",IF($N41&lt;35,"备选",IF($T41&gt;=85,"优先约聊","备选")))))</x:f>
      </x:c>
      <x:c r="V41" s="195"/>
      <x:c r="W41" s="222"/>
      <x:c r="X41" s="195"/>
      <x:c r="Y41" s="180"/>
    </x:row>
    <x:row r="42" ht="15" hidden="0" customHeight="1">
      <x:c r="A42" s="217"/>
      <x:c r="B42" s="195"/>
      <x:c r="C42" s="195"/>
      <x:c r="D42" s="218"/>
      <x:c r="E42" s="195"/>
      <x:c r="F42" s="195"/>
      <x:c r="G42" s="195"/>
      <x:c r="H42" s="195"/>
      <x:c r="I42" s="195"/>
      <x:c r="J42" s="195"/>
      <x:c r="K42" s="219"/>
      <x:c r="L42" s="195"/>
      <x:c r="M42" s="195"/>
      <x:c r="N42" s="219"/>
      <x:c r="O42" s="220" t="str">
        <x:f>IF(COUNTA($A42:$M42)=0,"",IF($N42="","待补",IF($N42&gt;=40,25,IF($N42&gt;=35,22,IF($N42&gt;=30,10,0)))))</x:f>
      </x:c>
      <x:c r="P42" s="220" t="str">
        <x:f>IF(COUNTA($A42:$M42)=0,"",IF(ISNUMBER($D42),IF($D42&lt;=45,20,IF($D42&lt;=60,14,IF($D42&lt;=75,8,3))),IF(OR(ISNUMBER(SEARCH("兴隆湖",$C42)),ISNUMBER(SEARCH("科学城",$C42))),20,IF(ISNUMBER(SEARCH("天府新区",$C42)),18,IF(OR(ISNUMBER(SEARCH("新川",$C42)),ISNUMBER(SEARCH("天府软件园",$C42)),ISNUMBER(SEARCH("高新南",$C42)),ISNUMBER(SEARCH("金融城",$C42))),12,5)))))</x:f>
      </x:c>
      <x:c r="Q42" s="220" t="str">
        <x:f>IF(COUNTA($A42:$M42)=0,"",SWITCH($H42,"核心",20,"强相关",16,"一般",10,"弱相关",5,"无",0,0))</x:f>
      </x:c>
      <x:c r="R42" s="220" t="str">
        <x:f>IF(COUNTA($A42:$M42)=0,"",SWITCH($I42,"核心",20,"强相关",16,"一般",10,"弱相关",5,"无",0,0))</x:f>
      </x:c>
      <x:c r="S42" s="220" t="str">
        <x:f>IF(COUNTA($A42:$M42)=0,"",SWITCH($J42,"高",15,"中高",12,"中",9,"低",4,"待核验",8,0))</x:f>
      </x:c>
      <x:c r="T42" s="220" t="str">
        <x:f>IF(COUNTA($A42:$M42)=0,"",SUM($O42:$S42))</x:f>
      </x:c>
      <x:c r="U42" s="221" t="str">
        <x:f>IF(COUNTA($A42:$M42)=0,"",IF($N42="","待补base",IF(OR($N42&lt;30,$T42&lt;70),"不投",IF($N42&lt;35,"备选",IF($T42&gt;=85,"优先约聊","备选")))))</x:f>
      </x:c>
      <x:c r="V42" s="195"/>
      <x:c r="W42" s="222"/>
      <x:c r="X42" s="195"/>
      <x:c r="Y42" s="180"/>
    </x:row>
    <x:row r="43" ht="15" hidden="0" customHeight="1">
      <x:c r="A43" s="217"/>
      <x:c r="B43" s="195"/>
      <x:c r="C43" s="195"/>
      <x:c r="D43" s="218"/>
      <x:c r="E43" s="195"/>
      <x:c r="F43" s="195"/>
      <x:c r="G43" s="195"/>
      <x:c r="H43" s="195"/>
      <x:c r="I43" s="195"/>
      <x:c r="J43" s="195"/>
      <x:c r="K43" s="219"/>
      <x:c r="L43" s="195"/>
      <x:c r="M43" s="195"/>
      <x:c r="N43" s="219"/>
      <x:c r="O43" s="220" t="str">
        <x:f>IF(COUNTA($A43:$M43)=0,"",IF($N43="","待补",IF($N43&gt;=40,25,IF($N43&gt;=35,22,IF($N43&gt;=30,10,0)))))</x:f>
      </x:c>
      <x:c r="P43" s="220" t="str">
        <x:f>IF(COUNTA($A43:$M43)=0,"",IF(ISNUMBER($D43),IF($D43&lt;=45,20,IF($D43&lt;=60,14,IF($D43&lt;=75,8,3))),IF(OR(ISNUMBER(SEARCH("兴隆湖",$C43)),ISNUMBER(SEARCH("科学城",$C43))),20,IF(ISNUMBER(SEARCH("天府新区",$C43)),18,IF(OR(ISNUMBER(SEARCH("新川",$C43)),ISNUMBER(SEARCH("天府软件园",$C43)),ISNUMBER(SEARCH("高新南",$C43)),ISNUMBER(SEARCH("金融城",$C43))),12,5)))))</x:f>
      </x:c>
      <x:c r="Q43" s="220" t="str">
        <x:f>IF(COUNTA($A43:$M43)=0,"",SWITCH($H43,"核心",20,"强相关",16,"一般",10,"弱相关",5,"无",0,0))</x:f>
      </x:c>
      <x:c r="R43" s="220" t="str">
        <x:f>IF(COUNTA($A43:$M43)=0,"",SWITCH($I43,"核心",20,"强相关",16,"一般",10,"弱相关",5,"无",0,0))</x:f>
      </x:c>
      <x:c r="S43" s="220" t="str">
        <x:f>IF(COUNTA($A43:$M43)=0,"",SWITCH($J43,"高",15,"中高",12,"中",9,"低",4,"待核验",8,0))</x:f>
      </x:c>
      <x:c r="T43" s="220" t="str">
        <x:f>IF(COUNTA($A43:$M43)=0,"",SUM($O43:$S43))</x:f>
      </x:c>
      <x:c r="U43" s="221" t="str">
        <x:f>IF(COUNTA($A43:$M43)=0,"",IF($N43="","待补base",IF(OR($N43&lt;30,$T43&lt;70),"不投",IF($N43&lt;35,"备选",IF($T43&gt;=85,"优先约聊","备选")))))</x:f>
      </x:c>
      <x:c r="V43" s="195"/>
      <x:c r="W43" s="222"/>
      <x:c r="X43" s="195"/>
      <x:c r="Y43" s="180"/>
    </x:row>
    <x:row r="44" ht="15" hidden="0" customHeight="1">
      <x:c r="A44" s="217"/>
      <x:c r="B44" s="195"/>
      <x:c r="C44" s="195"/>
      <x:c r="D44" s="218"/>
      <x:c r="E44" s="195"/>
      <x:c r="F44" s="195"/>
      <x:c r="G44" s="195"/>
      <x:c r="H44" s="195"/>
      <x:c r="I44" s="195"/>
      <x:c r="J44" s="195"/>
      <x:c r="K44" s="219"/>
      <x:c r="L44" s="195"/>
      <x:c r="M44" s="195"/>
      <x:c r="N44" s="219"/>
      <x:c r="O44" s="220" t="str">
        <x:f>IF(COUNTA($A44:$M44)=0,"",IF($N44="","待补",IF($N44&gt;=40,25,IF($N44&gt;=35,22,IF($N44&gt;=30,10,0)))))</x:f>
      </x:c>
      <x:c r="P44" s="220" t="str">
        <x:f>IF(COUNTA($A44:$M44)=0,"",IF(ISNUMBER($D44),IF($D44&lt;=45,20,IF($D44&lt;=60,14,IF($D44&lt;=75,8,3))),IF(OR(ISNUMBER(SEARCH("兴隆湖",$C44)),ISNUMBER(SEARCH("科学城",$C44))),20,IF(ISNUMBER(SEARCH("天府新区",$C44)),18,IF(OR(ISNUMBER(SEARCH("新川",$C44)),ISNUMBER(SEARCH("天府软件园",$C44)),ISNUMBER(SEARCH("高新南",$C44)),ISNUMBER(SEARCH("金融城",$C44))),12,5)))))</x:f>
      </x:c>
      <x:c r="Q44" s="220" t="str">
        <x:f>IF(COUNTA($A44:$M44)=0,"",SWITCH($H44,"核心",20,"强相关",16,"一般",10,"弱相关",5,"无",0,0))</x:f>
      </x:c>
      <x:c r="R44" s="220" t="str">
        <x:f>IF(COUNTA($A44:$M44)=0,"",SWITCH($I44,"核心",20,"强相关",16,"一般",10,"弱相关",5,"无",0,0))</x:f>
      </x:c>
      <x:c r="S44" s="220" t="str">
        <x:f>IF(COUNTA($A44:$M44)=0,"",SWITCH($J44,"高",15,"中高",12,"中",9,"低",4,"待核验",8,0))</x:f>
      </x:c>
      <x:c r="T44" s="220" t="str">
        <x:f>IF(COUNTA($A44:$M44)=0,"",SUM($O44:$S44))</x:f>
      </x:c>
      <x:c r="U44" s="221" t="str">
        <x:f>IF(COUNTA($A44:$M44)=0,"",IF($N44="","待补base",IF(OR($N44&lt;30,$T44&lt;70),"不投",IF($N44&lt;35,"备选",IF($T44&gt;=85,"优先约聊","备选")))))</x:f>
      </x:c>
      <x:c r="V44" s="195"/>
      <x:c r="W44" s="222"/>
      <x:c r="X44" s="195"/>
      <x:c r="Y44" s="180"/>
    </x:row>
    <x:row r="45" ht="15" hidden="0" customHeight="1">
      <x:c r="A45" s="217"/>
      <x:c r="B45" s="195"/>
      <x:c r="C45" s="195"/>
      <x:c r="D45" s="218"/>
      <x:c r="E45" s="195"/>
      <x:c r="F45" s="195"/>
      <x:c r="G45" s="195"/>
      <x:c r="H45" s="195"/>
      <x:c r="I45" s="195"/>
      <x:c r="J45" s="195"/>
      <x:c r="K45" s="219"/>
      <x:c r="L45" s="195"/>
      <x:c r="M45" s="195"/>
      <x:c r="N45" s="219"/>
      <x:c r="O45" s="220" t="str">
        <x:f>IF(COUNTA($A45:$M45)=0,"",IF($N45="","待补",IF($N45&gt;=40,25,IF($N45&gt;=35,22,IF($N45&gt;=30,10,0)))))</x:f>
      </x:c>
      <x:c r="P45" s="220" t="str">
        <x:f>IF(COUNTA($A45:$M45)=0,"",IF(ISNUMBER($D45),IF($D45&lt;=45,20,IF($D45&lt;=60,14,IF($D45&lt;=75,8,3))),IF(OR(ISNUMBER(SEARCH("兴隆湖",$C45)),ISNUMBER(SEARCH("科学城",$C45))),20,IF(ISNUMBER(SEARCH("天府新区",$C45)),18,IF(OR(ISNUMBER(SEARCH("新川",$C45)),ISNUMBER(SEARCH("天府软件园",$C45)),ISNUMBER(SEARCH("高新南",$C45)),ISNUMBER(SEARCH("金融城",$C45))),12,5)))))</x:f>
      </x:c>
      <x:c r="Q45" s="220" t="str">
        <x:f>IF(COUNTA($A45:$M45)=0,"",SWITCH($H45,"核心",20,"强相关",16,"一般",10,"弱相关",5,"无",0,0))</x:f>
      </x:c>
      <x:c r="R45" s="220" t="str">
        <x:f>IF(COUNTA($A45:$M45)=0,"",SWITCH($I45,"核心",20,"强相关",16,"一般",10,"弱相关",5,"无",0,0))</x:f>
      </x:c>
      <x:c r="S45" s="220" t="str">
        <x:f>IF(COUNTA($A45:$M45)=0,"",SWITCH($J45,"高",15,"中高",12,"中",9,"低",4,"待核验",8,0))</x:f>
      </x:c>
      <x:c r="T45" s="220" t="str">
        <x:f>IF(COUNTA($A45:$M45)=0,"",SUM($O45:$S45))</x:f>
      </x:c>
      <x:c r="U45" s="221" t="str">
        <x:f>IF(COUNTA($A45:$M45)=0,"",IF($N45="","待补base",IF(OR($N45&lt;30,$T45&lt;70),"不投",IF($N45&lt;35,"备选",IF($T45&gt;=85,"优先约聊","备选")))))</x:f>
      </x:c>
      <x:c r="V45" s="195"/>
      <x:c r="W45" s="222"/>
      <x:c r="X45" s="195"/>
      <x:c r="Y45" s="180"/>
    </x:row>
    <x:row r="46" ht="15" hidden="0" customHeight="1">
      <x:c r="A46" s="217"/>
      <x:c r="B46" s="195"/>
      <x:c r="C46" s="195"/>
      <x:c r="D46" s="218"/>
      <x:c r="E46" s="195"/>
      <x:c r="F46" s="195"/>
      <x:c r="G46" s="195"/>
      <x:c r="H46" s="195"/>
      <x:c r="I46" s="195"/>
      <x:c r="J46" s="195"/>
      <x:c r="K46" s="219"/>
      <x:c r="L46" s="195"/>
      <x:c r="M46" s="195"/>
      <x:c r="N46" s="219"/>
      <x:c r="O46" s="220" t="str">
        <x:f>IF(COUNTA($A46:$M46)=0,"",IF($N46="","待补",IF($N46&gt;=40,25,IF($N46&gt;=35,22,IF($N46&gt;=30,10,0)))))</x:f>
      </x:c>
      <x:c r="P46" s="220" t="str">
        <x:f>IF(COUNTA($A46:$M46)=0,"",IF(ISNUMBER($D46),IF($D46&lt;=45,20,IF($D46&lt;=60,14,IF($D46&lt;=75,8,3))),IF(OR(ISNUMBER(SEARCH("兴隆湖",$C46)),ISNUMBER(SEARCH("科学城",$C46))),20,IF(ISNUMBER(SEARCH("天府新区",$C46)),18,IF(OR(ISNUMBER(SEARCH("新川",$C46)),ISNUMBER(SEARCH("天府软件园",$C46)),ISNUMBER(SEARCH("高新南",$C46)),ISNUMBER(SEARCH("金融城",$C46))),12,5)))))</x:f>
      </x:c>
      <x:c r="Q46" s="220" t="str">
        <x:f>IF(COUNTA($A46:$M46)=0,"",SWITCH($H46,"核心",20,"强相关",16,"一般",10,"弱相关",5,"无",0,0))</x:f>
      </x:c>
      <x:c r="R46" s="220" t="str">
        <x:f>IF(COUNTA($A46:$M46)=0,"",SWITCH($I46,"核心",20,"强相关",16,"一般",10,"弱相关",5,"无",0,0))</x:f>
      </x:c>
      <x:c r="S46" s="220" t="str">
        <x:f>IF(COUNTA($A46:$M46)=0,"",SWITCH($J46,"高",15,"中高",12,"中",9,"低",4,"待核验",8,0))</x:f>
      </x:c>
      <x:c r="T46" s="220" t="str">
        <x:f>IF(COUNTA($A46:$M46)=0,"",SUM($O46:$S46))</x:f>
      </x:c>
      <x:c r="U46" s="221" t="str">
        <x:f>IF(COUNTA($A46:$M46)=0,"",IF($N46="","待补base",IF(OR($N46&lt;30,$T46&lt;70),"不投",IF($N46&lt;35,"备选",IF($T46&gt;=85,"优先约聊","备选")))))</x:f>
      </x:c>
      <x:c r="V46" s="195"/>
      <x:c r="W46" s="222"/>
      <x:c r="X46" s="195"/>
      <x:c r="Y46" s="180"/>
    </x:row>
    <x:row r="47" ht="15" hidden="0" customHeight="1">
      <x:c r="A47" s="217"/>
      <x:c r="B47" s="195"/>
      <x:c r="C47" s="195"/>
      <x:c r="D47" s="218"/>
      <x:c r="E47" s="195"/>
      <x:c r="F47" s="195"/>
      <x:c r="G47" s="195"/>
      <x:c r="H47" s="195"/>
      <x:c r="I47" s="195"/>
      <x:c r="J47" s="195"/>
      <x:c r="K47" s="219"/>
      <x:c r="L47" s="195"/>
      <x:c r="M47" s="195"/>
      <x:c r="N47" s="219"/>
      <x:c r="O47" s="220" t="str">
        <x:f>IF(COUNTA($A47:$M47)=0,"",IF($N47="","待补",IF($N47&gt;=40,25,IF($N47&gt;=35,22,IF($N47&gt;=30,10,0)))))</x:f>
      </x:c>
      <x:c r="P47" s="220" t="str">
        <x:f>IF(COUNTA($A47:$M47)=0,"",IF(ISNUMBER($D47),IF($D47&lt;=45,20,IF($D47&lt;=60,14,IF($D47&lt;=75,8,3))),IF(OR(ISNUMBER(SEARCH("兴隆湖",$C47)),ISNUMBER(SEARCH("科学城",$C47))),20,IF(ISNUMBER(SEARCH("天府新区",$C47)),18,IF(OR(ISNUMBER(SEARCH("新川",$C47)),ISNUMBER(SEARCH("天府软件园",$C47)),ISNUMBER(SEARCH("高新南",$C47)),ISNUMBER(SEARCH("金融城",$C47))),12,5)))))</x:f>
      </x:c>
      <x:c r="Q47" s="220" t="str">
        <x:f>IF(COUNTA($A47:$M47)=0,"",SWITCH($H47,"核心",20,"强相关",16,"一般",10,"弱相关",5,"无",0,0))</x:f>
      </x:c>
      <x:c r="R47" s="220" t="str">
        <x:f>IF(COUNTA($A47:$M47)=0,"",SWITCH($I47,"核心",20,"强相关",16,"一般",10,"弱相关",5,"无",0,0))</x:f>
      </x:c>
      <x:c r="S47" s="220" t="str">
        <x:f>IF(COUNTA($A47:$M47)=0,"",SWITCH($J47,"高",15,"中高",12,"中",9,"低",4,"待核验",8,0))</x:f>
      </x:c>
      <x:c r="T47" s="220" t="str">
        <x:f>IF(COUNTA($A47:$M47)=0,"",SUM($O47:$S47))</x:f>
      </x:c>
      <x:c r="U47" s="221" t="str">
        <x:f>IF(COUNTA($A47:$M47)=0,"",IF($N47="","待补base",IF(OR($N47&lt;30,$T47&lt;70),"不投",IF($N47&lt;35,"备选",IF($T47&gt;=85,"优先约聊","备选")))))</x:f>
      </x:c>
      <x:c r="V47" s="195"/>
      <x:c r="W47" s="222"/>
      <x:c r="X47" s="195"/>
      <x:c r="Y47" s="180"/>
    </x:row>
    <x:row r="48" ht="15" hidden="0" customHeight="1">
      <x:c r="A48" s="217"/>
      <x:c r="B48" s="195"/>
      <x:c r="C48" s="195"/>
      <x:c r="D48" s="218"/>
      <x:c r="E48" s="195"/>
      <x:c r="F48" s="195"/>
      <x:c r="G48" s="195"/>
      <x:c r="H48" s="195"/>
      <x:c r="I48" s="195"/>
      <x:c r="J48" s="195"/>
      <x:c r="K48" s="219"/>
      <x:c r="L48" s="195"/>
      <x:c r="M48" s="195"/>
      <x:c r="N48" s="219"/>
      <x:c r="O48" s="220" t="str">
        <x:f>IF(COUNTA($A48:$M48)=0,"",IF($N48="","待补",IF($N48&gt;=40,25,IF($N48&gt;=35,22,IF($N48&gt;=30,10,0)))))</x:f>
      </x:c>
      <x:c r="P48" s="220" t="str">
        <x:f>IF(COUNTA($A48:$M48)=0,"",IF(ISNUMBER($D48),IF($D48&lt;=45,20,IF($D48&lt;=60,14,IF($D48&lt;=75,8,3))),IF(OR(ISNUMBER(SEARCH("兴隆湖",$C48)),ISNUMBER(SEARCH("科学城",$C48))),20,IF(ISNUMBER(SEARCH("天府新区",$C48)),18,IF(OR(ISNUMBER(SEARCH("新川",$C48)),ISNUMBER(SEARCH("天府软件园",$C48)),ISNUMBER(SEARCH("高新南",$C48)),ISNUMBER(SEARCH("金融城",$C48))),12,5)))))</x:f>
      </x:c>
      <x:c r="Q48" s="220" t="str">
        <x:f>IF(COUNTA($A48:$M48)=0,"",SWITCH($H48,"核心",20,"强相关",16,"一般",10,"弱相关",5,"无",0,0))</x:f>
      </x:c>
      <x:c r="R48" s="220" t="str">
        <x:f>IF(COUNTA($A48:$M48)=0,"",SWITCH($I48,"核心",20,"强相关",16,"一般",10,"弱相关",5,"无",0,0))</x:f>
      </x:c>
      <x:c r="S48" s="220" t="str">
        <x:f>IF(COUNTA($A48:$M48)=0,"",SWITCH($J48,"高",15,"中高",12,"中",9,"低",4,"待核验",8,0))</x:f>
      </x:c>
      <x:c r="T48" s="220" t="str">
        <x:f>IF(COUNTA($A48:$M48)=0,"",SUM($O48:$S48))</x:f>
      </x:c>
      <x:c r="U48" s="221" t="str">
        <x:f>IF(COUNTA($A48:$M48)=0,"",IF($N48="","待补base",IF(OR($N48&lt;30,$T48&lt;70),"不投",IF($N48&lt;35,"备选",IF($T48&gt;=85,"优先约聊","备选")))))</x:f>
      </x:c>
      <x:c r="V48" s="195"/>
      <x:c r="W48" s="222"/>
      <x:c r="X48" s="195"/>
      <x:c r="Y48" s="180"/>
    </x:row>
    <x:row r="49" ht="15" hidden="0" customHeight="1">
      <x:c r="A49" s="217"/>
      <x:c r="B49" s="195"/>
      <x:c r="C49" s="195"/>
      <x:c r="D49" s="218"/>
      <x:c r="E49" s="195"/>
      <x:c r="F49" s="195"/>
      <x:c r="G49" s="195"/>
      <x:c r="H49" s="195"/>
      <x:c r="I49" s="195"/>
      <x:c r="J49" s="195"/>
      <x:c r="K49" s="219"/>
      <x:c r="L49" s="195"/>
      <x:c r="M49" s="195"/>
      <x:c r="N49" s="219"/>
      <x:c r="O49" s="220" t="str">
        <x:f>IF(COUNTA($A49:$M49)=0,"",IF($N49="","待补",IF($N49&gt;=40,25,IF($N49&gt;=35,22,IF($N49&gt;=30,10,0)))))</x:f>
      </x:c>
      <x:c r="P49" s="220" t="str">
        <x:f>IF(COUNTA($A49:$M49)=0,"",IF(ISNUMBER($D49),IF($D49&lt;=45,20,IF($D49&lt;=60,14,IF($D49&lt;=75,8,3))),IF(OR(ISNUMBER(SEARCH("兴隆湖",$C49)),ISNUMBER(SEARCH("科学城",$C49))),20,IF(ISNUMBER(SEARCH("天府新区",$C49)),18,IF(OR(ISNUMBER(SEARCH("新川",$C49)),ISNUMBER(SEARCH("天府软件园",$C49)),ISNUMBER(SEARCH("高新南",$C49)),ISNUMBER(SEARCH("金融城",$C49))),12,5)))))</x:f>
      </x:c>
      <x:c r="Q49" s="220" t="str">
        <x:f>IF(COUNTA($A49:$M49)=0,"",SWITCH($H49,"核心",20,"强相关",16,"一般",10,"弱相关",5,"无",0,0))</x:f>
      </x:c>
      <x:c r="R49" s="220" t="str">
        <x:f>IF(COUNTA($A49:$M49)=0,"",SWITCH($I49,"核心",20,"强相关",16,"一般",10,"弱相关",5,"无",0,0))</x:f>
      </x:c>
      <x:c r="S49" s="220" t="str">
        <x:f>IF(COUNTA($A49:$M49)=0,"",SWITCH($J49,"高",15,"中高",12,"中",9,"低",4,"待核验",8,0))</x:f>
      </x:c>
      <x:c r="T49" s="220" t="str">
        <x:f>IF(COUNTA($A49:$M49)=0,"",SUM($O49:$S49))</x:f>
      </x:c>
      <x:c r="U49" s="221" t="str">
        <x:f>IF(COUNTA($A49:$M49)=0,"",IF($N49="","待补base",IF(OR($N49&lt;30,$T49&lt;70),"不投",IF($N49&lt;35,"备选",IF($T49&gt;=85,"优先约聊","备选")))))</x:f>
      </x:c>
      <x:c r="V49" s="195"/>
      <x:c r="W49" s="222"/>
      <x:c r="X49" s="195"/>
      <x:c r="Y49" s="180"/>
    </x:row>
    <x:row r="50" ht="15" hidden="0" customHeight="1">
      <x:c r="A50" s="217"/>
      <x:c r="B50" s="195"/>
      <x:c r="C50" s="195"/>
      <x:c r="D50" s="218"/>
      <x:c r="E50" s="195"/>
      <x:c r="F50" s="195"/>
      <x:c r="G50" s="195"/>
      <x:c r="H50" s="195"/>
      <x:c r="I50" s="195"/>
      <x:c r="J50" s="195"/>
      <x:c r="K50" s="219"/>
      <x:c r="L50" s="195"/>
      <x:c r="M50" s="195"/>
      <x:c r="N50" s="219"/>
      <x:c r="O50" s="220" t="str">
        <x:f>IF(COUNTA($A50:$M50)=0,"",IF($N50="","待补",IF($N50&gt;=40,25,IF($N50&gt;=35,22,IF($N50&gt;=30,10,0)))))</x:f>
      </x:c>
      <x:c r="P50" s="220" t="str">
        <x:f>IF(COUNTA($A50:$M50)=0,"",IF(ISNUMBER($D50),IF($D50&lt;=45,20,IF($D50&lt;=60,14,IF($D50&lt;=75,8,3))),IF(OR(ISNUMBER(SEARCH("兴隆湖",$C50)),ISNUMBER(SEARCH("科学城",$C50))),20,IF(ISNUMBER(SEARCH("天府新区",$C50)),18,IF(OR(ISNUMBER(SEARCH("新川",$C50)),ISNUMBER(SEARCH("天府软件园",$C50)),ISNUMBER(SEARCH("高新南",$C50)),ISNUMBER(SEARCH("金融城",$C50))),12,5)))))</x:f>
      </x:c>
      <x:c r="Q50" s="220" t="str">
        <x:f>IF(COUNTA($A50:$M50)=0,"",SWITCH($H50,"核心",20,"强相关",16,"一般",10,"弱相关",5,"无",0,0))</x:f>
      </x:c>
      <x:c r="R50" s="220" t="str">
        <x:f>IF(COUNTA($A50:$M50)=0,"",SWITCH($I50,"核心",20,"强相关",16,"一般",10,"弱相关",5,"无",0,0))</x:f>
      </x:c>
      <x:c r="S50" s="220" t="str">
        <x:f>IF(COUNTA($A50:$M50)=0,"",SWITCH($J50,"高",15,"中高",12,"中",9,"低",4,"待核验",8,0))</x:f>
      </x:c>
      <x:c r="T50" s="220" t="str">
        <x:f>IF(COUNTA($A50:$M50)=0,"",SUM($O50:$S50))</x:f>
      </x:c>
      <x:c r="U50" s="221" t="str">
        <x:f>IF(COUNTA($A50:$M50)=0,"",IF($N50="","待补base",IF(OR($N50&lt;30,$T50&lt;70),"不投",IF($N50&lt;35,"备选",IF($T50&gt;=85,"优先约聊","备选")))))</x:f>
      </x:c>
      <x:c r="V50" s="195"/>
      <x:c r="W50" s="222"/>
      <x:c r="X50" s="195"/>
      <x:c r="Y50" s="180"/>
    </x:row>
    <x:row r="51" ht="15" hidden="0" customHeight="1">
      <x:c r="A51" s="217"/>
      <x:c r="B51" s="195"/>
      <x:c r="C51" s="195"/>
      <x:c r="D51" s="218"/>
      <x:c r="E51" s="195"/>
      <x:c r="F51" s="195"/>
      <x:c r="G51" s="195"/>
      <x:c r="H51" s="195"/>
      <x:c r="I51" s="195"/>
      <x:c r="J51" s="195"/>
      <x:c r="K51" s="219"/>
      <x:c r="L51" s="195"/>
      <x:c r="M51" s="195"/>
      <x:c r="N51" s="219"/>
      <x:c r="O51" s="220" t="str">
        <x:f>IF(COUNTA($A51:$M51)=0,"",IF($N51="","待补",IF($N51&gt;=40,25,IF($N51&gt;=35,22,IF($N51&gt;=30,10,0)))))</x:f>
      </x:c>
      <x:c r="P51" s="220" t="str">
        <x:f>IF(COUNTA($A51:$M51)=0,"",IF(ISNUMBER($D51),IF($D51&lt;=45,20,IF($D51&lt;=60,14,IF($D51&lt;=75,8,3))),IF(OR(ISNUMBER(SEARCH("兴隆湖",$C51)),ISNUMBER(SEARCH("科学城",$C51))),20,IF(ISNUMBER(SEARCH("天府新区",$C51)),18,IF(OR(ISNUMBER(SEARCH("新川",$C51)),ISNUMBER(SEARCH("天府软件园",$C51)),ISNUMBER(SEARCH("高新南",$C51)),ISNUMBER(SEARCH("金融城",$C51))),12,5)))))</x:f>
      </x:c>
      <x:c r="Q51" s="220" t="str">
        <x:f>IF(COUNTA($A51:$M51)=0,"",SWITCH($H51,"核心",20,"强相关",16,"一般",10,"弱相关",5,"无",0,0))</x:f>
      </x:c>
      <x:c r="R51" s="220" t="str">
        <x:f>IF(COUNTA($A51:$M51)=0,"",SWITCH($I51,"核心",20,"强相关",16,"一般",10,"弱相关",5,"无",0,0))</x:f>
      </x:c>
      <x:c r="S51" s="220" t="str">
        <x:f>IF(COUNTA($A51:$M51)=0,"",SWITCH($J51,"高",15,"中高",12,"中",9,"低",4,"待核验",8,0))</x:f>
      </x:c>
      <x:c r="T51" s="220" t="str">
        <x:f>IF(COUNTA($A51:$M51)=0,"",SUM($O51:$S51))</x:f>
      </x:c>
      <x:c r="U51" s="221" t="str">
        <x:f>IF(COUNTA($A51:$M51)=0,"",IF($N51="","待补base",IF(OR($N51&lt;30,$T51&lt;70),"不投",IF($N51&lt;35,"备选",IF($T51&gt;=85,"优先约聊","备选")))))</x:f>
      </x:c>
      <x:c r="V51" s="195"/>
      <x:c r="W51" s="222"/>
      <x:c r="X51" s="195"/>
      <x:c r="Y51" s="180"/>
    </x:row>
    <x:row r="52" ht="15" hidden="0" customHeight="1">
      <x:c r="A52" s="217"/>
      <x:c r="B52" s="195"/>
      <x:c r="C52" s="195"/>
      <x:c r="D52" s="218"/>
      <x:c r="E52" s="195"/>
      <x:c r="F52" s="195"/>
      <x:c r="G52" s="195"/>
      <x:c r="H52" s="195"/>
      <x:c r="I52" s="195"/>
      <x:c r="J52" s="195"/>
      <x:c r="K52" s="219"/>
      <x:c r="L52" s="195"/>
      <x:c r="M52" s="195"/>
      <x:c r="N52" s="219"/>
      <x:c r="O52" s="220" t="str">
        <x:f>IF(COUNTA($A52:$M52)=0,"",IF($N52="","待补",IF($N52&gt;=40,25,IF($N52&gt;=35,22,IF($N52&gt;=30,10,0)))))</x:f>
      </x:c>
      <x:c r="P52" s="220" t="str">
        <x:f>IF(COUNTA($A52:$M52)=0,"",IF(ISNUMBER($D52),IF($D52&lt;=45,20,IF($D52&lt;=60,14,IF($D52&lt;=75,8,3))),IF(OR(ISNUMBER(SEARCH("兴隆湖",$C52)),ISNUMBER(SEARCH("科学城",$C52))),20,IF(ISNUMBER(SEARCH("天府新区",$C52)),18,IF(OR(ISNUMBER(SEARCH("新川",$C52)),ISNUMBER(SEARCH("天府软件园",$C52)),ISNUMBER(SEARCH("高新南",$C52)),ISNUMBER(SEARCH("金融城",$C52))),12,5)))))</x:f>
      </x:c>
      <x:c r="Q52" s="220" t="str">
        <x:f>IF(COUNTA($A52:$M52)=0,"",SWITCH($H52,"核心",20,"强相关",16,"一般",10,"弱相关",5,"无",0,0))</x:f>
      </x:c>
      <x:c r="R52" s="220" t="str">
        <x:f>IF(COUNTA($A52:$M52)=0,"",SWITCH($I52,"核心",20,"强相关",16,"一般",10,"弱相关",5,"无",0,0))</x:f>
      </x:c>
      <x:c r="S52" s="220" t="str">
        <x:f>IF(COUNTA($A52:$M52)=0,"",SWITCH($J52,"高",15,"中高",12,"中",9,"低",4,"待核验",8,0))</x:f>
      </x:c>
      <x:c r="T52" s="220" t="str">
        <x:f>IF(COUNTA($A52:$M52)=0,"",SUM($O52:$S52))</x:f>
      </x:c>
      <x:c r="U52" s="221" t="str">
        <x:f>IF(COUNTA($A52:$M52)=0,"",IF($N52="","待补base",IF(OR($N52&lt;30,$T52&lt;70),"不投",IF($N52&lt;35,"备选",IF($T52&gt;=85,"优先约聊","备选")))))</x:f>
      </x:c>
      <x:c r="V52" s="195"/>
      <x:c r="W52" s="222"/>
      <x:c r="X52" s="195"/>
      <x:c r="Y52" s="180"/>
    </x:row>
    <x:row r="53" ht="15" hidden="0" customHeight="1">
      <x:c r="A53" s="217"/>
      <x:c r="B53" s="195"/>
      <x:c r="C53" s="195"/>
      <x:c r="D53" s="218"/>
      <x:c r="E53" s="195"/>
      <x:c r="F53" s="195"/>
      <x:c r="G53" s="195"/>
      <x:c r="H53" s="195"/>
      <x:c r="I53" s="195"/>
      <x:c r="J53" s="195"/>
      <x:c r="K53" s="219"/>
      <x:c r="L53" s="195"/>
      <x:c r="M53" s="195"/>
      <x:c r="N53" s="219"/>
      <x:c r="O53" s="220" t="str">
        <x:f>IF(COUNTA($A53:$M53)=0,"",IF($N53="","待补",IF($N53&gt;=40,25,IF($N53&gt;=35,22,IF($N53&gt;=30,10,0)))))</x:f>
      </x:c>
      <x:c r="P53" s="220" t="str">
        <x:f>IF(COUNTA($A53:$M53)=0,"",IF(ISNUMBER($D53),IF($D53&lt;=45,20,IF($D53&lt;=60,14,IF($D53&lt;=75,8,3))),IF(OR(ISNUMBER(SEARCH("兴隆湖",$C53)),ISNUMBER(SEARCH("科学城",$C53))),20,IF(ISNUMBER(SEARCH("天府新区",$C53)),18,IF(OR(ISNUMBER(SEARCH("新川",$C53)),ISNUMBER(SEARCH("天府软件园",$C53)),ISNUMBER(SEARCH("高新南",$C53)),ISNUMBER(SEARCH("金融城",$C53))),12,5)))))</x:f>
      </x:c>
      <x:c r="Q53" s="220" t="str">
        <x:f>IF(COUNTA($A53:$M53)=0,"",SWITCH($H53,"核心",20,"强相关",16,"一般",10,"弱相关",5,"无",0,0))</x:f>
      </x:c>
      <x:c r="R53" s="220" t="str">
        <x:f>IF(COUNTA($A53:$M53)=0,"",SWITCH($I53,"核心",20,"强相关",16,"一般",10,"弱相关",5,"无",0,0))</x:f>
      </x:c>
      <x:c r="S53" s="220" t="str">
        <x:f>IF(COUNTA($A53:$M53)=0,"",SWITCH($J53,"高",15,"中高",12,"中",9,"低",4,"待核验",8,0))</x:f>
      </x:c>
      <x:c r="T53" s="220" t="str">
        <x:f>IF(COUNTA($A53:$M53)=0,"",SUM($O53:$S53))</x:f>
      </x:c>
      <x:c r="U53" s="221" t="str">
        <x:f>IF(COUNTA($A53:$M53)=0,"",IF($N53="","待补base",IF(OR($N53&lt;30,$T53&lt;70),"不投",IF($N53&lt;35,"备选",IF($T53&gt;=85,"优先约聊","备选")))))</x:f>
      </x:c>
      <x:c r="V53" s="195"/>
      <x:c r="W53" s="222"/>
      <x:c r="X53" s="195"/>
      <x:c r="Y53" s="180"/>
    </x:row>
    <x:row r="54" ht="15" hidden="0" customHeight="1">
      <x:c r="A54" s="217"/>
      <x:c r="B54" s="195"/>
      <x:c r="C54" s="195"/>
      <x:c r="D54" s="218"/>
      <x:c r="E54" s="195"/>
      <x:c r="F54" s="195"/>
      <x:c r="G54" s="195"/>
      <x:c r="H54" s="195"/>
      <x:c r="I54" s="195"/>
      <x:c r="J54" s="195"/>
      <x:c r="K54" s="219"/>
      <x:c r="L54" s="195"/>
      <x:c r="M54" s="195"/>
      <x:c r="N54" s="219"/>
      <x:c r="O54" s="220" t="str">
        <x:f>IF(COUNTA($A54:$M54)=0,"",IF($N54="","待补",IF($N54&gt;=40,25,IF($N54&gt;=35,22,IF($N54&gt;=30,10,0)))))</x:f>
      </x:c>
      <x:c r="P54" s="220" t="str">
        <x:f>IF(COUNTA($A54:$M54)=0,"",IF(ISNUMBER($D54),IF($D54&lt;=45,20,IF($D54&lt;=60,14,IF($D54&lt;=75,8,3))),IF(OR(ISNUMBER(SEARCH("兴隆湖",$C54)),ISNUMBER(SEARCH("科学城",$C54))),20,IF(ISNUMBER(SEARCH("天府新区",$C54)),18,IF(OR(ISNUMBER(SEARCH("新川",$C54)),ISNUMBER(SEARCH("天府软件园",$C54)),ISNUMBER(SEARCH("高新南",$C54)),ISNUMBER(SEARCH("金融城",$C54))),12,5)))))</x:f>
      </x:c>
      <x:c r="Q54" s="220" t="str">
        <x:f>IF(COUNTA($A54:$M54)=0,"",SWITCH($H54,"核心",20,"强相关",16,"一般",10,"弱相关",5,"无",0,0))</x:f>
      </x:c>
      <x:c r="R54" s="220" t="str">
        <x:f>IF(COUNTA($A54:$M54)=0,"",SWITCH($I54,"核心",20,"强相关",16,"一般",10,"弱相关",5,"无",0,0))</x:f>
      </x:c>
      <x:c r="S54" s="220" t="str">
        <x:f>IF(COUNTA($A54:$M54)=0,"",SWITCH($J54,"高",15,"中高",12,"中",9,"低",4,"待核验",8,0))</x:f>
      </x:c>
      <x:c r="T54" s="220" t="str">
        <x:f>IF(COUNTA($A54:$M54)=0,"",SUM($O54:$S54))</x:f>
      </x:c>
      <x:c r="U54" s="221" t="str">
        <x:f>IF(COUNTA($A54:$M54)=0,"",IF($N54="","待补base",IF(OR($N54&lt;30,$T54&lt;70),"不投",IF($N54&lt;35,"备选",IF($T54&gt;=85,"优先约聊","备选")))))</x:f>
      </x:c>
      <x:c r="V54" s="195"/>
      <x:c r="W54" s="222"/>
      <x:c r="X54" s="195"/>
      <x:c r="Y54" s="180"/>
    </x:row>
    <x:row r="55" ht="15" hidden="0" customHeight="1">
      <x:c r="A55" s="217"/>
      <x:c r="B55" s="195"/>
      <x:c r="C55" s="195"/>
      <x:c r="D55" s="218"/>
      <x:c r="E55" s="195"/>
      <x:c r="F55" s="195"/>
      <x:c r="G55" s="195"/>
      <x:c r="H55" s="195"/>
      <x:c r="I55" s="195"/>
      <x:c r="J55" s="195"/>
      <x:c r="K55" s="219"/>
      <x:c r="L55" s="195"/>
      <x:c r="M55" s="195"/>
      <x:c r="N55" s="219"/>
      <x:c r="O55" s="220" t="str">
        <x:f>IF(COUNTA($A55:$M55)=0,"",IF($N55="","待补",IF($N55&gt;=40,25,IF($N55&gt;=35,22,IF($N55&gt;=30,10,0)))))</x:f>
      </x:c>
      <x:c r="P55" s="220" t="str">
        <x:f>IF(COUNTA($A55:$M55)=0,"",IF(ISNUMBER($D55),IF($D55&lt;=45,20,IF($D55&lt;=60,14,IF($D55&lt;=75,8,3))),IF(OR(ISNUMBER(SEARCH("兴隆湖",$C55)),ISNUMBER(SEARCH("科学城",$C55))),20,IF(ISNUMBER(SEARCH("天府新区",$C55)),18,IF(OR(ISNUMBER(SEARCH("新川",$C55)),ISNUMBER(SEARCH("天府软件园",$C55)),ISNUMBER(SEARCH("高新南",$C55)),ISNUMBER(SEARCH("金融城",$C55))),12,5)))))</x:f>
      </x:c>
      <x:c r="Q55" s="220" t="str">
        <x:f>IF(COUNTA($A55:$M55)=0,"",SWITCH($H55,"核心",20,"强相关",16,"一般",10,"弱相关",5,"无",0,0))</x:f>
      </x:c>
      <x:c r="R55" s="220" t="str">
        <x:f>IF(COUNTA($A55:$M55)=0,"",SWITCH($I55,"核心",20,"强相关",16,"一般",10,"弱相关",5,"无",0,0))</x:f>
      </x:c>
      <x:c r="S55" s="220" t="str">
        <x:f>IF(COUNTA($A55:$M55)=0,"",SWITCH($J55,"高",15,"中高",12,"中",9,"低",4,"待核验",8,0))</x:f>
      </x:c>
      <x:c r="T55" s="220" t="str">
        <x:f>IF(COUNTA($A55:$M55)=0,"",SUM($O55:$S55))</x:f>
      </x:c>
      <x:c r="U55" s="221" t="str">
        <x:f>IF(COUNTA($A55:$M55)=0,"",IF($N55="","待补base",IF(OR($N55&lt;30,$T55&lt;70),"不投",IF($N55&lt;35,"备选",IF($T55&gt;=85,"优先约聊","备选")))))</x:f>
      </x:c>
      <x:c r="V55" s="195"/>
      <x:c r="W55" s="222"/>
      <x:c r="X55" s="195"/>
      <x:c r="Y55" s="180"/>
    </x:row>
    <x:row r="56" ht="15" hidden="0" customHeight="1">
      <x:c r="A56" s="217"/>
      <x:c r="B56" s="195"/>
      <x:c r="C56" s="195"/>
      <x:c r="D56" s="218"/>
      <x:c r="E56" s="195"/>
      <x:c r="F56" s="195"/>
      <x:c r="G56" s="195"/>
      <x:c r="H56" s="195"/>
      <x:c r="I56" s="195"/>
      <x:c r="J56" s="195"/>
      <x:c r="K56" s="219"/>
      <x:c r="L56" s="195"/>
      <x:c r="M56" s="195"/>
      <x:c r="N56" s="219"/>
      <x:c r="O56" s="220" t="str">
        <x:f>IF(COUNTA($A56:$M56)=0,"",IF($N56="","待补",IF($N56&gt;=40,25,IF($N56&gt;=35,22,IF($N56&gt;=30,10,0)))))</x:f>
      </x:c>
      <x:c r="P56" s="220" t="str">
        <x:f>IF(COUNTA($A56:$M56)=0,"",IF(ISNUMBER($D56),IF($D56&lt;=45,20,IF($D56&lt;=60,14,IF($D56&lt;=75,8,3))),IF(OR(ISNUMBER(SEARCH("兴隆湖",$C56)),ISNUMBER(SEARCH("科学城",$C56))),20,IF(ISNUMBER(SEARCH("天府新区",$C56)),18,IF(OR(ISNUMBER(SEARCH("新川",$C56)),ISNUMBER(SEARCH("天府软件园",$C56)),ISNUMBER(SEARCH("高新南",$C56)),ISNUMBER(SEARCH("金融城",$C56))),12,5)))))</x:f>
      </x:c>
      <x:c r="Q56" s="220" t="str">
        <x:f>IF(COUNTA($A56:$M56)=0,"",SWITCH($H56,"核心",20,"强相关",16,"一般",10,"弱相关",5,"无",0,0))</x:f>
      </x:c>
      <x:c r="R56" s="220" t="str">
        <x:f>IF(COUNTA($A56:$M56)=0,"",SWITCH($I56,"核心",20,"强相关",16,"一般",10,"弱相关",5,"无",0,0))</x:f>
      </x:c>
      <x:c r="S56" s="220" t="str">
        <x:f>IF(COUNTA($A56:$M56)=0,"",SWITCH($J56,"高",15,"中高",12,"中",9,"低",4,"待核验",8,0))</x:f>
      </x:c>
      <x:c r="T56" s="220" t="str">
        <x:f>IF(COUNTA($A56:$M56)=0,"",SUM($O56:$S56))</x:f>
      </x:c>
      <x:c r="U56" s="221" t="str">
        <x:f>IF(COUNTA($A56:$M56)=0,"",IF($N56="","待补base",IF(OR($N56&lt;30,$T56&lt;70),"不投",IF($N56&lt;35,"备选",IF($T56&gt;=85,"优先约聊","备选")))))</x:f>
      </x:c>
      <x:c r="V56" s="195"/>
      <x:c r="W56" s="222"/>
      <x:c r="X56" s="195"/>
      <x:c r="Y56" s="180"/>
    </x:row>
    <x:row r="57" ht="15" hidden="0" customHeight="1">
      <x:c r="A57" s="217"/>
      <x:c r="B57" s="195"/>
      <x:c r="C57" s="195"/>
      <x:c r="D57" s="218"/>
      <x:c r="E57" s="195"/>
      <x:c r="F57" s="195"/>
      <x:c r="G57" s="195"/>
      <x:c r="H57" s="195"/>
      <x:c r="I57" s="195"/>
      <x:c r="J57" s="195"/>
      <x:c r="K57" s="219"/>
      <x:c r="L57" s="195"/>
      <x:c r="M57" s="195"/>
      <x:c r="N57" s="219"/>
      <x:c r="O57" s="220" t="str">
        <x:f>IF(COUNTA($A57:$M57)=0,"",IF($N57="","待补",IF($N57&gt;=40,25,IF($N57&gt;=35,22,IF($N57&gt;=30,10,0)))))</x:f>
      </x:c>
      <x:c r="P57" s="220" t="str">
        <x:f>IF(COUNTA($A57:$M57)=0,"",IF(ISNUMBER($D57),IF($D57&lt;=45,20,IF($D57&lt;=60,14,IF($D57&lt;=75,8,3))),IF(OR(ISNUMBER(SEARCH("兴隆湖",$C57)),ISNUMBER(SEARCH("科学城",$C57))),20,IF(ISNUMBER(SEARCH("天府新区",$C57)),18,IF(OR(ISNUMBER(SEARCH("新川",$C57)),ISNUMBER(SEARCH("天府软件园",$C57)),ISNUMBER(SEARCH("高新南",$C57)),ISNUMBER(SEARCH("金融城",$C57))),12,5)))))</x:f>
      </x:c>
      <x:c r="Q57" s="220" t="str">
        <x:f>IF(COUNTA($A57:$M57)=0,"",SWITCH($H57,"核心",20,"强相关",16,"一般",10,"弱相关",5,"无",0,0))</x:f>
      </x:c>
      <x:c r="R57" s="220" t="str">
        <x:f>IF(COUNTA($A57:$M57)=0,"",SWITCH($I57,"核心",20,"强相关",16,"一般",10,"弱相关",5,"无",0,0))</x:f>
      </x:c>
      <x:c r="S57" s="220" t="str">
        <x:f>IF(COUNTA($A57:$M57)=0,"",SWITCH($J57,"高",15,"中高",12,"中",9,"低",4,"待核验",8,0))</x:f>
      </x:c>
      <x:c r="T57" s="220" t="str">
        <x:f>IF(COUNTA($A57:$M57)=0,"",SUM($O57:$S57))</x:f>
      </x:c>
      <x:c r="U57" s="221" t="str">
        <x:f>IF(COUNTA($A57:$M57)=0,"",IF($N57="","待补base",IF(OR($N57&lt;30,$T57&lt;70),"不投",IF($N57&lt;35,"备选",IF($T57&gt;=85,"优先约聊","备选")))))</x:f>
      </x:c>
      <x:c r="V57" s="195"/>
      <x:c r="W57" s="222"/>
      <x:c r="X57" s="195"/>
      <x:c r="Y57" s="180"/>
    </x:row>
    <x:row r="58" ht="15" hidden="0" customHeight="1">
      <x:c r="A58" s="217"/>
      <x:c r="B58" s="195"/>
      <x:c r="C58" s="195"/>
      <x:c r="D58" s="218"/>
      <x:c r="E58" s="195"/>
      <x:c r="F58" s="195"/>
      <x:c r="G58" s="195"/>
      <x:c r="H58" s="195"/>
      <x:c r="I58" s="195"/>
      <x:c r="J58" s="195"/>
      <x:c r="K58" s="219"/>
      <x:c r="L58" s="195"/>
      <x:c r="M58" s="195"/>
      <x:c r="N58" s="219"/>
      <x:c r="O58" s="220" t="str">
        <x:f>IF(COUNTA($A58:$M58)=0,"",IF($N58="","待补",IF($N58&gt;=40,25,IF($N58&gt;=35,22,IF($N58&gt;=30,10,0)))))</x:f>
      </x:c>
      <x:c r="P58" s="220" t="str">
        <x:f>IF(COUNTA($A58:$M58)=0,"",IF(ISNUMBER($D58),IF($D58&lt;=45,20,IF($D58&lt;=60,14,IF($D58&lt;=75,8,3))),IF(OR(ISNUMBER(SEARCH("兴隆湖",$C58)),ISNUMBER(SEARCH("科学城",$C58))),20,IF(ISNUMBER(SEARCH("天府新区",$C58)),18,IF(OR(ISNUMBER(SEARCH("新川",$C58)),ISNUMBER(SEARCH("天府软件园",$C58)),ISNUMBER(SEARCH("高新南",$C58)),ISNUMBER(SEARCH("金融城",$C58))),12,5)))))</x:f>
      </x:c>
      <x:c r="Q58" s="220" t="str">
        <x:f>IF(COUNTA($A58:$M58)=0,"",SWITCH($H58,"核心",20,"强相关",16,"一般",10,"弱相关",5,"无",0,0))</x:f>
      </x:c>
      <x:c r="R58" s="220" t="str">
        <x:f>IF(COUNTA($A58:$M58)=0,"",SWITCH($I58,"核心",20,"强相关",16,"一般",10,"弱相关",5,"无",0,0))</x:f>
      </x:c>
      <x:c r="S58" s="220" t="str">
        <x:f>IF(COUNTA($A58:$M58)=0,"",SWITCH($J58,"高",15,"中高",12,"中",9,"低",4,"待核验",8,0))</x:f>
      </x:c>
      <x:c r="T58" s="220" t="str">
        <x:f>IF(COUNTA($A58:$M58)=0,"",SUM($O58:$S58))</x:f>
      </x:c>
      <x:c r="U58" s="221" t="str">
        <x:f>IF(COUNTA($A58:$M58)=0,"",IF($N58="","待补base",IF(OR($N58&lt;30,$T58&lt;70),"不投",IF($N58&lt;35,"备选",IF($T58&gt;=85,"优先约聊","备选")))))</x:f>
      </x:c>
      <x:c r="V58" s="195"/>
      <x:c r="W58" s="222"/>
      <x:c r="X58" s="195"/>
      <x:c r="Y58" s="180"/>
    </x:row>
    <x:row r="59" ht="15" hidden="0" customHeight="1">
      <x:c r="A59" s="217"/>
      <x:c r="B59" s="195"/>
      <x:c r="C59" s="195"/>
      <x:c r="D59" s="218"/>
      <x:c r="E59" s="195"/>
      <x:c r="F59" s="195"/>
      <x:c r="G59" s="195"/>
      <x:c r="H59" s="195"/>
      <x:c r="I59" s="195"/>
      <x:c r="J59" s="195"/>
      <x:c r="K59" s="219"/>
      <x:c r="L59" s="195"/>
      <x:c r="M59" s="195"/>
      <x:c r="N59" s="219"/>
      <x:c r="O59" s="220" t="str">
        <x:f>IF(COUNTA($A59:$M59)=0,"",IF($N59="","待补",IF($N59&gt;=40,25,IF($N59&gt;=35,22,IF($N59&gt;=30,10,0)))))</x:f>
      </x:c>
      <x:c r="P59" s="220" t="str">
        <x:f>IF(COUNTA($A59:$M59)=0,"",IF(ISNUMBER($D59),IF($D59&lt;=45,20,IF($D59&lt;=60,14,IF($D59&lt;=75,8,3))),IF(OR(ISNUMBER(SEARCH("兴隆湖",$C59)),ISNUMBER(SEARCH("科学城",$C59))),20,IF(ISNUMBER(SEARCH("天府新区",$C59)),18,IF(OR(ISNUMBER(SEARCH("新川",$C59)),ISNUMBER(SEARCH("天府软件园",$C59)),ISNUMBER(SEARCH("高新南",$C59)),ISNUMBER(SEARCH("金融城",$C59))),12,5)))))</x:f>
      </x:c>
      <x:c r="Q59" s="220" t="str">
        <x:f>IF(COUNTA($A59:$M59)=0,"",SWITCH($H59,"核心",20,"强相关",16,"一般",10,"弱相关",5,"无",0,0))</x:f>
      </x:c>
      <x:c r="R59" s="220" t="str">
        <x:f>IF(COUNTA($A59:$M59)=0,"",SWITCH($I59,"核心",20,"强相关",16,"一般",10,"弱相关",5,"无",0,0))</x:f>
      </x:c>
      <x:c r="S59" s="220" t="str">
        <x:f>IF(COUNTA($A59:$M59)=0,"",SWITCH($J59,"高",15,"中高",12,"中",9,"低",4,"待核验",8,0))</x:f>
      </x:c>
      <x:c r="T59" s="220" t="str">
        <x:f>IF(COUNTA($A59:$M59)=0,"",SUM($O59:$S59))</x:f>
      </x:c>
      <x:c r="U59" s="221" t="str">
        <x:f>IF(COUNTA($A59:$M59)=0,"",IF($N59="","待补base",IF(OR($N59&lt;30,$T59&lt;70),"不投",IF($N59&lt;35,"备选",IF($T59&gt;=85,"优先约聊","备选")))))</x:f>
      </x:c>
      <x:c r="V59" s="195"/>
      <x:c r="W59" s="222"/>
      <x:c r="X59" s="195"/>
      <x:c r="Y59" s="180"/>
    </x:row>
    <x:row r="60" ht="15" hidden="0" customHeight="1">
      <x:c r="A60" s="217"/>
      <x:c r="B60" s="195"/>
      <x:c r="C60" s="195"/>
      <x:c r="D60" s="218"/>
      <x:c r="E60" s="195"/>
      <x:c r="F60" s="195"/>
      <x:c r="G60" s="195"/>
      <x:c r="H60" s="195"/>
      <x:c r="I60" s="195"/>
      <x:c r="J60" s="195"/>
      <x:c r="K60" s="219"/>
      <x:c r="L60" s="195"/>
      <x:c r="M60" s="195"/>
      <x:c r="N60" s="219"/>
      <x:c r="O60" s="220" t="str">
        <x:f>IF(COUNTA($A60:$M60)=0,"",IF($N60="","待补",IF($N60&gt;=40,25,IF($N60&gt;=35,22,IF($N60&gt;=30,10,0)))))</x:f>
      </x:c>
      <x:c r="P60" s="220" t="str">
        <x:f>IF(COUNTA($A60:$M60)=0,"",IF(ISNUMBER($D60),IF($D60&lt;=45,20,IF($D60&lt;=60,14,IF($D60&lt;=75,8,3))),IF(OR(ISNUMBER(SEARCH("兴隆湖",$C60)),ISNUMBER(SEARCH("科学城",$C60))),20,IF(ISNUMBER(SEARCH("天府新区",$C60)),18,IF(OR(ISNUMBER(SEARCH("新川",$C60)),ISNUMBER(SEARCH("天府软件园",$C60)),ISNUMBER(SEARCH("高新南",$C60)),ISNUMBER(SEARCH("金融城",$C60))),12,5)))))</x:f>
      </x:c>
      <x:c r="Q60" s="220" t="str">
        <x:f>IF(COUNTA($A60:$M60)=0,"",SWITCH($H60,"核心",20,"强相关",16,"一般",10,"弱相关",5,"无",0,0))</x:f>
      </x:c>
      <x:c r="R60" s="220" t="str">
        <x:f>IF(COUNTA($A60:$M60)=0,"",SWITCH($I60,"核心",20,"强相关",16,"一般",10,"弱相关",5,"无",0,0))</x:f>
      </x:c>
      <x:c r="S60" s="220" t="str">
        <x:f>IF(COUNTA($A60:$M60)=0,"",SWITCH($J60,"高",15,"中高",12,"中",9,"低",4,"待核验",8,0))</x:f>
      </x:c>
      <x:c r="T60" s="220" t="str">
        <x:f>IF(COUNTA($A60:$M60)=0,"",SUM($O60:$S60))</x:f>
      </x:c>
      <x:c r="U60" s="221" t="str">
        <x:f>IF(COUNTA($A60:$M60)=0,"",IF($N60="","待补base",IF(OR($N60&lt;30,$T60&lt;70),"不投",IF($N60&lt;35,"备选",IF($T60&gt;=85,"优先约聊","备选")))))</x:f>
      </x:c>
      <x:c r="V60" s="195"/>
      <x:c r="W60" s="222"/>
      <x:c r="X60" s="195"/>
      <x:c r="Y60" s="180"/>
    </x:row>
    <x:row r="61" ht="15" hidden="0" customHeight="1">
      <x:c r="A61" s="217"/>
      <x:c r="B61" s="195"/>
      <x:c r="C61" s="195"/>
      <x:c r="D61" s="218"/>
      <x:c r="E61" s="195"/>
      <x:c r="F61" s="195"/>
      <x:c r="G61" s="195"/>
      <x:c r="H61" s="195"/>
      <x:c r="I61" s="195"/>
      <x:c r="J61" s="195"/>
      <x:c r="K61" s="219"/>
      <x:c r="L61" s="195"/>
      <x:c r="M61" s="195"/>
      <x:c r="N61" s="219"/>
      <x:c r="O61" s="220" t="str">
        <x:f>IF(COUNTA($A61:$M61)=0,"",IF($N61="","待补",IF($N61&gt;=40,25,IF($N61&gt;=35,22,IF($N61&gt;=30,10,0)))))</x:f>
      </x:c>
      <x:c r="P61" s="220" t="str">
        <x:f>IF(COUNTA($A61:$M61)=0,"",IF(ISNUMBER($D61),IF($D61&lt;=45,20,IF($D61&lt;=60,14,IF($D61&lt;=75,8,3))),IF(OR(ISNUMBER(SEARCH("兴隆湖",$C61)),ISNUMBER(SEARCH("科学城",$C61))),20,IF(ISNUMBER(SEARCH("天府新区",$C61)),18,IF(OR(ISNUMBER(SEARCH("新川",$C61)),ISNUMBER(SEARCH("天府软件园",$C61)),ISNUMBER(SEARCH("高新南",$C61)),ISNUMBER(SEARCH("金融城",$C61))),12,5)))))</x:f>
      </x:c>
      <x:c r="Q61" s="220" t="str">
        <x:f>IF(COUNTA($A61:$M61)=0,"",SWITCH($H61,"核心",20,"强相关",16,"一般",10,"弱相关",5,"无",0,0))</x:f>
      </x:c>
      <x:c r="R61" s="220" t="str">
        <x:f>IF(COUNTA($A61:$M61)=0,"",SWITCH($I61,"核心",20,"强相关",16,"一般",10,"弱相关",5,"无",0,0))</x:f>
      </x:c>
      <x:c r="S61" s="220" t="str">
        <x:f>IF(COUNTA($A61:$M61)=0,"",SWITCH($J61,"高",15,"中高",12,"中",9,"低",4,"待核验",8,0))</x:f>
      </x:c>
      <x:c r="T61" s="220" t="str">
        <x:f>IF(COUNTA($A61:$M61)=0,"",SUM($O61:$S61))</x:f>
      </x:c>
      <x:c r="U61" s="221" t="str">
        <x:f>IF(COUNTA($A61:$M61)=0,"",IF($N61="","待补base",IF(OR($N61&lt;30,$T61&lt;70),"不投",IF($N61&lt;35,"备选",IF($T61&gt;=85,"优先约聊","备选")))))</x:f>
      </x:c>
      <x:c r="V61" s="195"/>
      <x:c r="W61" s="222"/>
      <x:c r="X61" s="195"/>
      <x:c r="Y61" s="180"/>
    </x:row>
    <x:row r="62" ht="15" hidden="0" customHeight="1">
      <x:c r="A62" s="217"/>
      <x:c r="B62" s="195"/>
      <x:c r="C62" s="195"/>
      <x:c r="D62" s="218"/>
      <x:c r="E62" s="195"/>
      <x:c r="F62" s="195"/>
      <x:c r="G62" s="195"/>
      <x:c r="H62" s="195"/>
      <x:c r="I62" s="195"/>
      <x:c r="J62" s="195"/>
      <x:c r="K62" s="219"/>
      <x:c r="L62" s="195"/>
      <x:c r="M62" s="195"/>
      <x:c r="N62" s="219"/>
      <x:c r="O62" s="220" t="str">
        <x:f>IF(COUNTA($A62:$M62)=0,"",IF($N62="","待补",IF($N62&gt;=40,25,IF($N62&gt;=35,22,IF($N62&gt;=30,10,0)))))</x:f>
      </x:c>
      <x:c r="P62" s="220" t="str">
        <x:f>IF(COUNTA($A62:$M62)=0,"",IF(ISNUMBER($D62),IF($D62&lt;=45,20,IF($D62&lt;=60,14,IF($D62&lt;=75,8,3))),IF(OR(ISNUMBER(SEARCH("兴隆湖",$C62)),ISNUMBER(SEARCH("科学城",$C62))),20,IF(ISNUMBER(SEARCH("天府新区",$C62)),18,IF(OR(ISNUMBER(SEARCH("新川",$C62)),ISNUMBER(SEARCH("天府软件园",$C62)),ISNUMBER(SEARCH("高新南",$C62)),ISNUMBER(SEARCH("金融城",$C62))),12,5)))))</x:f>
      </x:c>
      <x:c r="Q62" s="220" t="str">
        <x:f>IF(COUNTA($A62:$M62)=0,"",SWITCH($H62,"核心",20,"强相关",16,"一般",10,"弱相关",5,"无",0,0))</x:f>
      </x:c>
      <x:c r="R62" s="220" t="str">
        <x:f>IF(COUNTA($A62:$M62)=0,"",SWITCH($I62,"核心",20,"强相关",16,"一般",10,"弱相关",5,"无",0,0))</x:f>
      </x:c>
      <x:c r="S62" s="220" t="str">
        <x:f>IF(COUNTA($A62:$M62)=0,"",SWITCH($J62,"高",15,"中高",12,"中",9,"低",4,"待核验",8,0))</x:f>
      </x:c>
      <x:c r="T62" s="220" t="str">
        <x:f>IF(COUNTA($A62:$M62)=0,"",SUM($O62:$S62))</x:f>
      </x:c>
      <x:c r="U62" s="221" t="str">
        <x:f>IF(COUNTA($A62:$M62)=0,"",IF($N62="","待补base",IF(OR($N62&lt;30,$T62&lt;70),"不投",IF($N62&lt;35,"备选",IF($T62&gt;=85,"优先约聊","备选")))))</x:f>
      </x:c>
      <x:c r="V62" s="195"/>
      <x:c r="W62" s="222"/>
      <x:c r="X62" s="195"/>
      <x:c r="Y62" s="180"/>
    </x:row>
    <x:row r="63" ht="15" hidden="0" customHeight="1">
      <x:c r="A63" s="217"/>
      <x:c r="B63" s="195"/>
      <x:c r="C63" s="195"/>
      <x:c r="D63" s="218"/>
      <x:c r="E63" s="195"/>
      <x:c r="F63" s="195"/>
      <x:c r="G63" s="195"/>
      <x:c r="H63" s="195"/>
      <x:c r="I63" s="195"/>
      <x:c r="J63" s="195"/>
      <x:c r="K63" s="219"/>
      <x:c r="L63" s="195"/>
      <x:c r="M63" s="195"/>
      <x:c r="N63" s="219"/>
      <x:c r="O63" s="220" t="str">
        <x:f>IF(COUNTA($A63:$M63)=0,"",IF($N63="","待补",IF($N63&gt;=40,25,IF($N63&gt;=35,22,IF($N63&gt;=30,10,0)))))</x:f>
      </x:c>
      <x:c r="P63" s="220" t="str">
        <x:f>IF(COUNTA($A63:$M63)=0,"",IF(ISNUMBER($D63),IF($D63&lt;=45,20,IF($D63&lt;=60,14,IF($D63&lt;=75,8,3))),IF(OR(ISNUMBER(SEARCH("兴隆湖",$C63)),ISNUMBER(SEARCH("科学城",$C63))),20,IF(ISNUMBER(SEARCH("天府新区",$C63)),18,IF(OR(ISNUMBER(SEARCH("新川",$C63)),ISNUMBER(SEARCH("天府软件园",$C63)),ISNUMBER(SEARCH("高新南",$C63)),ISNUMBER(SEARCH("金融城",$C63))),12,5)))))</x:f>
      </x:c>
      <x:c r="Q63" s="220" t="str">
        <x:f>IF(COUNTA($A63:$M63)=0,"",SWITCH($H63,"核心",20,"强相关",16,"一般",10,"弱相关",5,"无",0,0))</x:f>
      </x:c>
      <x:c r="R63" s="220" t="str">
        <x:f>IF(COUNTA($A63:$M63)=0,"",SWITCH($I63,"核心",20,"强相关",16,"一般",10,"弱相关",5,"无",0,0))</x:f>
      </x:c>
      <x:c r="S63" s="220" t="str">
        <x:f>IF(COUNTA($A63:$M63)=0,"",SWITCH($J63,"高",15,"中高",12,"中",9,"低",4,"待核验",8,0))</x:f>
      </x:c>
      <x:c r="T63" s="220" t="str">
        <x:f>IF(COUNTA($A63:$M63)=0,"",SUM($O63:$S63))</x:f>
      </x:c>
      <x:c r="U63" s="221" t="str">
        <x:f>IF(COUNTA($A63:$M63)=0,"",IF($N63="","待补base",IF(OR($N63&lt;30,$T63&lt;70),"不投",IF($N63&lt;35,"备选",IF($T63&gt;=85,"优先约聊","备选")))))</x:f>
      </x:c>
      <x:c r="V63" s="195"/>
      <x:c r="W63" s="222"/>
      <x:c r="X63" s="195"/>
      <x:c r="Y63" s="180"/>
    </x:row>
    <x:row r="64" ht="15" hidden="0" customHeight="1">
      <x:c r="A64" s="217"/>
      <x:c r="B64" s="195"/>
      <x:c r="C64" s="195"/>
      <x:c r="D64" s="218"/>
      <x:c r="E64" s="195"/>
      <x:c r="F64" s="195"/>
      <x:c r="G64" s="195"/>
      <x:c r="H64" s="195"/>
      <x:c r="I64" s="195"/>
      <x:c r="J64" s="195"/>
      <x:c r="K64" s="219"/>
      <x:c r="L64" s="195"/>
      <x:c r="M64" s="195"/>
      <x:c r="N64" s="219"/>
      <x:c r="O64" s="220" t="str">
        <x:f>IF(COUNTA($A64:$M64)=0,"",IF($N64="","待补",IF($N64&gt;=40,25,IF($N64&gt;=35,22,IF($N64&gt;=30,10,0)))))</x:f>
      </x:c>
      <x:c r="P64" s="220" t="str">
        <x:f>IF(COUNTA($A64:$M64)=0,"",IF(ISNUMBER($D64),IF($D64&lt;=45,20,IF($D64&lt;=60,14,IF($D64&lt;=75,8,3))),IF(OR(ISNUMBER(SEARCH("兴隆湖",$C64)),ISNUMBER(SEARCH("科学城",$C64))),20,IF(ISNUMBER(SEARCH("天府新区",$C64)),18,IF(OR(ISNUMBER(SEARCH("新川",$C64)),ISNUMBER(SEARCH("天府软件园",$C64)),ISNUMBER(SEARCH("高新南",$C64)),ISNUMBER(SEARCH("金融城",$C64))),12,5)))))</x:f>
      </x:c>
      <x:c r="Q64" s="220" t="str">
        <x:f>IF(COUNTA($A64:$M64)=0,"",SWITCH($H64,"核心",20,"强相关",16,"一般",10,"弱相关",5,"无",0,0))</x:f>
      </x:c>
      <x:c r="R64" s="220" t="str">
        <x:f>IF(COUNTA($A64:$M64)=0,"",SWITCH($I64,"核心",20,"强相关",16,"一般",10,"弱相关",5,"无",0,0))</x:f>
      </x:c>
      <x:c r="S64" s="220" t="str">
        <x:f>IF(COUNTA($A64:$M64)=0,"",SWITCH($J64,"高",15,"中高",12,"中",9,"低",4,"待核验",8,0))</x:f>
      </x:c>
      <x:c r="T64" s="220" t="str">
        <x:f>IF(COUNTA($A64:$M64)=0,"",SUM($O64:$S64))</x:f>
      </x:c>
      <x:c r="U64" s="221" t="str">
        <x:f>IF(COUNTA($A64:$M64)=0,"",IF($N64="","待补base",IF(OR($N64&lt;30,$T64&lt;70),"不投",IF($N64&lt;35,"备选",IF($T64&gt;=85,"优先约聊","备选")))))</x:f>
      </x:c>
      <x:c r="V64" s="195"/>
      <x:c r="W64" s="222"/>
      <x:c r="X64" s="195"/>
      <x:c r="Y64" s="180"/>
    </x:row>
    <x:row r="65" ht="15" hidden="0" customHeight="1">
      <x:c r="A65" s="217"/>
      <x:c r="B65" s="195"/>
      <x:c r="C65" s="195"/>
      <x:c r="D65" s="218"/>
      <x:c r="E65" s="195"/>
      <x:c r="F65" s="195"/>
      <x:c r="G65" s="195"/>
      <x:c r="H65" s="195"/>
      <x:c r="I65" s="195"/>
      <x:c r="J65" s="195"/>
      <x:c r="K65" s="219"/>
      <x:c r="L65" s="195"/>
      <x:c r="M65" s="195"/>
      <x:c r="N65" s="219"/>
      <x:c r="O65" s="220" t="str">
        <x:f>IF(COUNTA($A65:$M65)=0,"",IF($N65="","待补",IF($N65&gt;=40,25,IF($N65&gt;=35,22,IF($N65&gt;=30,10,0)))))</x:f>
      </x:c>
      <x:c r="P65" s="220" t="str">
        <x:f>IF(COUNTA($A65:$M65)=0,"",IF(ISNUMBER($D65),IF($D65&lt;=45,20,IF($D65&lt;=60,14,IF($D65&lt;=75,8,3))),IF(OR(ISNUMBER(SEARCH("兴隆湖",$C65)),ISNUMBER(SEARCH("科学城",$C65))),20,IF(ISNUMBER(SEARCH("天府新区",$C65)),18,IF(OR(ISNUMBER(SEARCH("新川",$C65)),ISNUMBER(SEARCH("天府软件园",$C65)),ISNUMBER(SEARCH("高新南",$C65)),ISNUMBER(SEARCH("金融城",$C65))),12,5)))))</x:f>
      </x:c>
      <x:c r="Q65" s="220" t="str">
        <x:f>IF(COUNTA($A65:$M65)=0,"",SWITCH($H65,"核心",20,"强相关",16,"一般",10,"弱相关",5,"无",0,0))</x:f>
      </x:c>
      <x:c r="R65" s="220" t="str">
        <x:f>IF(COUNTA($A65:$M65)=0,"",SWITCH($I65,"核心",20,"强相关",16,"一般",10,"弱相关",5,"无",0,0))</x:f>
      </x:c>
      <x:c r="S65" s="220" t="str">
        <x:f>IF(COUNTA($A65:$M65)=0,"",SWITCH($J65,"高",15,"中高",12,"中",9,"低",4,"待核验",8,0))</x:f>
      </x:c>
      <x:c r="T65" s="220" t="str">
        <x:f>IF(COUNTA($A65:$M65)=0,"",SUM($O65:$S65))</x:f>
      </x:c>
      <x:c r="U65" s="221" t="str">
        <x:f>IF(COUNTA($A65:$M65)=0,"",IF($N65="","待补base",IF(OR($N65&lt;30,$T65&lt;70),"不投",IF($N65&lt;35,"备选",IF($T65&gt;=85,"优先约聊","备选")))))</x:f>
      </x:c>
      <x:c r="V65" s="195"/>
      <x:c r="W65" s="222"/>
      <x:c r="X65" s="195"/>
      <x:c r="Y65" s="180"/>
    </x:row>
    <x:row r="66" ht="15" hidden="0" customHeight="1">
      <x:c r="A66" s="217"/>
      <x:c r="B66" s="195"/>
      <x:c r="C66" s="195"/>
      <x:c r="D66" s="218"/>
      <x:c r="E66" s="195"/>
      <x:c r="F66" s="195"/>
      <x:c r="G66" s="195"/>
      <x:c r="H66" s="195"/>
      <x:c r="I66" s="195"/>
      <x:c r="J66" s="195"/>
      <x:c r="K66" s="219"/>
      <x:c r="L66" s="195"/>
      <x:c r="M66" s="195"/>
      <x:c r="N66" s="219"/>
      <x:c r="O66" s="220" t="str">
        <x:f>IF(COUNTA($A66:$M66)=0,"",IF($N66="","待补",IF($N66&gt;=40,25,IF($N66&gt;=35,22,IF($N66&gt;=30,10,0)))))</x:f>
      </x:c>
      <x:c r="P66" s="220" t="str">
        <x:f>IF(COUNTA($A66:$M66)=0,"",IF(ISNUMBER($D66),IF($D66&lt;=45,20,IF($D66&lt;=60,14,IF($D66&lt;=75,8,3))),IF(OR(ISNUMBER(SEARCH("兴隆湖",$C66)),ISNUMBER(SEARCH("科学城",$C66))),20,IF(ISNUMBER(SEARCH("天府新区",$C66)),18,IF(OR(ISNUMBER(SEARCH("新川",$C66)),ISNUMBER(SEARCH("天府软件园",$C66)),ISNUMBER(SEARCH("高新南",$C66)),ISNUMBER(SEARCH("金融城",$C66))),12,5)))))</x:f>
      </x:c>
      <x:c r="Q66" s="220" t="str">
        <x:f>IF(COUNTA($A66:$M66)=0,"",SWITCH($H66,"核心",20,"强相关",16,"一般",10,"弱相关",5,"无",0,0))</x:f>
      </x:c>
      <x:c r="R66" s="220" t="str">
        <x:f>IF(COUNTA($A66:$M66)=0,"",SWITCH($I66,"核心",20,"强相关",16,"一般",10,"弱相关",5,"无",0,0))</x:f>
      </x:c>
      <x:c r="S66" s="220" t="str">
        <x:f>IF(COUNTA($A66:$M66)=0,"",SWITCH($J66,"高",15,"中高",12,"中",9,"低",4,"待核验",8,0))</x:f>
      </x:c>
      <x:c r="T66" s="220" t="str">
        <x:f>IF(COUNTA($A66:$M66)=0,"",SUM($O66:$S66))</x:f>
      </x:c>
      <x:c r="U66" s="221" t="str">
        <x:f>IF(COUNTA($A66:$M66)=0,"",IF($N66="","待补base",IF(OR($N66&lt;30,$T66&lt;70),"不投",IF($N66&lt;35,"备选",IF($T66&gt;=85,"优先约聊","备选")))))</x:f>
      </x:c>
      <x:c r="V66" s="195"/>
      <x:c r="W66" s="222"/>
      <x:c r="X66" s="195"/>
      <x:c r="Y66" s="180"/>
    </x:row>
    <x:row r="67" ht="15" hidden="0" customHeight="1">
      <x:c r="A67" s="217"/>
      <x:c r="B67" s="195"/>
      <x:c r="C67" s="195"/>
      <x:c r="D67" s="218"/>
      <x:c r="E67" s="195"/>
      <x:c r="F67" s="195"/>
      <x:c r="G67" s="195"/>
      <x:c r="H67" s="195"/>
      <x:c r="I67" s="195"/>
      <x:c r="J67" s="195"/>
      <x:c r="K67" s="219"/>
      <x:c r="L67" s="195"/>
      <x:c r="M67" s="195"/>
      <x:c r="N67" s="219"/>
      <x:c r="O67" s="220" t="str">
        <x:f>IF(COUNTA($A67:$M67)=0,"",IF($N67="","待补",IF($N67&gt;=40,25,IF($N67&gt;=35,22,IF($N67&gt;=30,10,0)))))</x:f>
      </x:c>
      <x:c r="P67" s="220" t="str">
        <x:f>IF(COUNTA($A67:$M67)=0,"",IF(ISNUMBER($D67),IF($D67&lt;=45,20,IF($D67&lt;=60,14,IF($D67&lt;=75,8,3))),IF(OR(ISNUMBER(SEARCH("兴隆湖",$C67)),ISNUMBER(SEARCH("科学城",$C67))),20,IF(ISNUMBER(SEARCH("天府新区",$C67)),18,IF(OR(ISNUMBER(SEARCH("新川",$C67)),ISNUMBER(SEARCH("天府软件园",$C67)),ISNUMBER(SEARCH("高新南",$C67)),ISNUMBER(SEARCH("金融城",$C67))),12,5)))))</x:f>
      </x:c>
      <x:c r="Q67" s="220" t="str">
        <x:f>IF(COUNTA($A67:$M67)=0,"",SWITCH($H67,"核心",20,"强相关",16,"一般",10,"弱相关",5,"无",0,0))</x:f>
      </x:c>
      <x:c r="R67" s="220" t="str">
        <x:f>IF(COUNTA($A67:$M67)=0,"",SWITCH($I67,"核心",20,"强相关",16,"一般",10,"弱相关",5,"无",0,0))</x:f>
      </x:c>
      <x:c r="S67" s="220" t="str">
        <x:f>IF(COUNTA($A67:$M67)=0,"",SWITCH($J67,"高",15,"中高",12,"中",9,"低",4,"待核验",8,0))</x:f>
      </x:c>
      <x:c r="T67" s="220" t="str">
        <x:f>IF(COUNTA($A67:$M67)=0,"",SUM($O67:$S67))</x:f>
      </x:c>
      <x:c r="U67" s="221" t="str">
        <x:f>IF(COUNTA($A67:$M67)=0,"",IF($N67="","待补base",IF(OR($N67&lt;30,$T67&lt;70),"不投",IF($N67&lt;35,"备选",IF($T67&gt;=85,"优先约聊","备选")))))</x:f>
      </x:c>
      <x:c r="V67" s="195"/>
      <x:c r="W67" s="222"/>
      <x:c r="X67" s="195"/>
      <x:c r="Y67" s="180"/>
    </x:row>
    <x:row r="68" ht="15" hidden="0" customHeight="1">
      <x:c r="A68" s="217"/>
      <x:c r="B68" s="195"/>
      <x:c r="C68" s="195"/>
      <x:c r="D68" s="218"/>
      <x:c r="E68" s="195"/>
      <x:c r="F68" s="195"/>
      <x:c r="G68" s="195"/>
      <x:c r="H68" s="195"/>
      <x:c r="I68" s="195"/>
      <x:c r="J68" s="195"/>
      <x:c r="K68" s="219"/>
      <x:c r="L68" s="195"/>
      <x:c r="M68" s="195"/>
      <x:c r="N68" s="219"/>
      <x:c r="O68" s="220" t="str">
        <x:f>IF(COUNTA($A68:$M68)=0,"",IF($N68="","待补",IF($N68&gt;=40,25,IF($N68&gt;=35,22,IF($N68&gt;=30,10,0)))))</x:f>
      </x:c>
      <x:c r="P68" s="220" t="str">
        <x:f>IF(COUNTA($A68:$M68)=0,"",IF(ISNUMBER($D68),IF($D68&lt;=45,20,IF($D68&lt;=60,14,IF($D68&lt;=75,8,3))),IF(OR(ISNUMBER(SEARCH("兴隆湖",$C68)),ISNUMBER(SEARCH("科学城",$C68))),20,IF(ISNUMBER(SEARCH("天府新区",$C68)),18,IF(OR(ISNUMBER(SEARCH("新川",$C68)),ISNUMBER(SEARCH("天府软件园",$C68)),ISNUMBER(SEARCH("高新南",$C68)),ISNUMBER(SEARCH("金融城",$C68))),12,5)))))</x:f>
      </x:c>
      <x:c r="Q68" s="220" t="str">
        <x:f>IF(COUNTA($A68:$M68)=0,"",SWITCH($H68,"核心",20,"强相关",16,"一般",10,"弱相关",5,"无",0,0))</x:f>
      </x:c>
      <x:c r="R68" s="220" t="str">
        <x:f>IF(COUNTA($A68:$M68)=0,"",SWITCH($I68,"核心",20,"强相关",16,"一般",10,"弱相关",5,"无",0,0))</x:f>
      </x:c>
      <x:c r="S68" s="220" t="str">
        <x:f>IF(COUNTA($A68:$M68)=0,"",SWITCH($J68,"高",15,"中高",12,"中",9,"低",4,"待核验",8,0))</x:f>
      </x:c>
      <x:c r="T68" s="220" t="str">
        <x:f>IF(COUNTA($A68:$M68)=0,"",SUM($O68:$S68))</x:f>
      </x:c>
      <x:c r="U68" s="221" t="str">
        <x:f>IF(COUNTA($A68:$M68)=0,"",IF($N68="","待补base",IF(OR($N68&lt;30,$T68&lt;70),"不投",IF($N68&lt;35,"备选",IF($T68&gt;=85,"优先约聊","备选")))))</x:f>
      </x:c>
      <x:c r="V68" s="195"/>
      <x:c r="W68" s="222"/>
      <x:c r="X68" s="195"/>
      <x:c r="Y68" s="180"/>
    </x:row>
    <x:row r="69" ht="15" hidden="0" customHeight="1">
      <x:c r="A69" s="217"/>
      <x:c r="B69" s="195"/>
      <x:c r="C69" s="195"/>
      <x:c r="D69" s="218"/>
      <x:c r="E69" s="195"/>
      <x:c r="F69" s="195"/>
      <x:c r="G69" s="195"/>
      <x:c r="H69" s="195"/>
      <x:c r="I69" s="195"/>
      <x:c r="J69" s="195"/>
      <x:c r="K69" s="219"/>
      <x:c r="L69" s="195"/>
      <x:c r="M69" s="195"/>
      <x:c r="N69" s="219"/>
      <x:c r="O69" s="220" t="str">
        <x:f>IF(COUNTA($A69:$M69)=0,"",IF($N69="","待补",IF($N69&gt;=40,25,IF($N69&gt;=35,22,IF($N69&gt;=30,10,0)))))</x:f>
      </x:c>
      <x:c r="P69" s="220" t="str">
        <x:f>IF(COUNTA($A69:$M69)=0,"",IF(ISNUMBER($D69),IF($D69&lt;=45,20,IF($D69&lt;=60,14,IF($D69&lt;=75,8,3))),IF(OR(ISNUMBER(SEARCH("兴隆湖",$C69)),ISNUMBER(SEARCH("科学城",$C69))),20,IF(ISNUMBER(SEARCH("天府新区",$C69)),18,IF(OR(ISNUMBER(SEARCH("新川",$C69)),ISNUMBER(SEARCH("天府软件园",$C69)),ISNUMBER(SEARCH("高新南",$C69)),ISNUMBER(SEARCH("金融城",$C69))),12,5)))))</x:f>
      </x:c>
      <x:c r="Q69" s="220" t="str">
        <x:f>IF(COUNTA($A69:$M69)=0,"",SWITCH($H69,"核心",20,"强相关",16,"一般",10,"弱相关",5,"无",0,0))</x:f>
      </x:c>
      <x:c r="R69" s="220" t="str">
        <x:f>IF(COUNTA($A69:$M69)=0,"",SWITCH($I69,"核心",20,"强相关",16,"一般",10,"弱相关",5,"无",0,0))</x:f>
      </x:c>
      <x:c r="S69" s="220" t="str">
        <x:f>IF(COUNTA($A69:$M69)=0,"",SWITCH($J69,"高",15,"中高",12,"中",9,"低",4,"待核验",8,0))</x:f>
      </x:c>
      <x:c r="T69" s="220" t="str">
        <x:f>IF(COUNTA($A69:$M69)=0,"",SUM($O69:$S69))</x:f>
      </x:c>
      <x:c r="U69" s="221" t="str">
        <x:f>IF(COUNTA($A69:$M69)=0,"",IF($N69="","待补base",IF(OR($N69&lt;30,$T69&lt;70),"不投",IF($N69&lt;35,"备选",IF($T69&gt;=85,"优先约聊","备选")))))</x:f>
      </x:c>
      <x:c r="V69" s="195"/>
      <x:c r="W69" s="222"/>
      <x:c r="X69" s="195"/>
      <x:c r="Y69" s="180"/>
    </x:row>
    <x:row r="70" ht="15" hidden="0" customHeight="1">
      <x:c r="A70" s="217"/>
      <x:c r="B70" s="195"/>
      <x:c r="C70" s="195"/>
      <x:c r="D70" s="218"/>
      <x:c r="E70" s="195"/>
      <x:c r="F70" s="195"/>
      <x:c r="G70" s="195"/>
      <x:c r="H70" s="195"/>
      <x:c r="I70" s="195"/>
      <x:c r="J70" s="195"/>
      <x:c r="K70" s="219"/>
      <x:c r="L70" s="195"/>
      <x:c r="M70" s="195"/>
      <x:c r="N70" s="219"/>
      <x:c r="O70" s="220" t="str">
        <x:f>IF(COUNTA($A70:$M70)=0,"",IF($N70="","待补",IF($N70&gt;=40,25,IF($N70&gt;=35,22,IF($N70&gt;=30,10,0)))))</x:f>
      </x:c>
      <x:c r="P70" s="220" t="str">
        <x:f>IF(COUNTA($A70:$M70)=0,"",IF(ISNUMBER($D70),IF($D70&lt;=45,20,IF($D70&lt;=60,14,IF($D70&lt;=75,8,3))),IF(OR(ISNUMBER(SEARCH("兴隆湖",$C70)),ISNUMBER(SEARCH("科学城",$C70))),20,IF(ISNUMBER(SEARCH("天府新区",$C70)),18,IF(OR(ISNUMBER(SEARCH("新川",$C70)),ISNUMBER(SEARCH("天府软件园",$C70)),ISNUMBER(SEARCH("高新南",$C70)),ISNUMBER(SEARCH("金融城",$C70))),12,5)))))</x:f>
      </x:c>
      <x:c r="Q70" s="220" t="str">
        <x:f>IF(COUNTA($A70:$M70)=0,"",SWITCH($H70,"核心",20,"强相关",16,"一般",10,"弱相关",5,"无",0,0))</x:f>
      </x:c>
      <x:c r="R70" s="220" t="str">
        <x:f>IF(COUNTA($A70:$M70)=0,"",SWITCH($I70,"核心",20,"强相关",16,"一般",10,"弱相关",5,"无",0,0))</x:f>
      </x:c>
      <x:c r="S70" s="220" t="str">
        <x:f>IF(COUNTA($A70:$M70)=0,"",SWITCH($J70,"高",15,"中高",12,"中",9,"低",4,"待核验",8,0))</x:f>
      </x:c>
      <x:c r="T70" s="220" t="str">
        <x:f>IF(COUNTA($A70:$M70)=0,"",SUM($O70:$S70))</x:f>
      </x:c>
      <x:c r="U70" s="221" t="str">
        <x:f>IF(COUNTA($A70:$M70)=0,"",IF($N70="","待补base",IF(OR($N70&lt;30,$T70&lt;70),"不投",IF($N70&lt;35,"备选",IF($T70&gt;=85,"优先约聊","备选")))))</x:f>
      </x:c>
      <x:c r="V70" s="195"/>
      <x:c r="W70" s="222"/>
      <x:c r="X70" s="195"/>
      <x:c r="Y70" s="180"/>
    </x:row>
    <x:row r="71" ht="15" hidden="0" customHeight="1">
      <x:c r="A71" s="217"/>
      <x:c r="B71" s="195"/>
      <x:c r="C71" s="195"/>
      <x:c r="D71" s="218"/>
      <x:c r="E71" s="195"/>
      <x:c r="F71" s="195"/>
      <x:c r="G71" s="195"/>
      <x:c r="H71" s="195"/>
      <x:c r="I71" s="195"/>
      <x:c r="J71" s="195"/>
      <x:c r="K71" s="219"/>
      <x:c r="L71" s="195"/>
      <x:c r="M71" s="195"/>
      <x:c r="N71" s="219"/>
      <x:c r="O71" s="220" t="str">
        <x:f>IF(COUNTA($A71:$M71)=0,"",IF($N71="","待补",IF($N71&gt;=40,25,IF($N71&gt;=35,22,IF($N71&gt;=30,10,0)))))</x:f>
      </x:c>
      <x:c r="P71" s="220" t="str">
        <x:f>IF(COUNTA($A71:$M71)=0,"",IF(ISNUMBER($D71),IF($D71&lt;=45,20,IF($D71&lt;=60,14,IF($D71&lt;=75,8,3))),IF(OR(ISNUMBER(SEARCH("兴隆湖",$C71)),ISNUMBER(SEARCH("科学城",$C71))),20,IF(ISNUMBER(SEARCH("天府新区",$C71)),18,IF(OR(ISNUMBER(SEARCH("新川",$C71)),ISNUMBER(SEARCH("天府软件园",$C71)),ISNUMBER(SEARCH("高新南",$C71)),ISNUMBER(SEARCH("金融城",$C71))),12,5)))))</x:f>
      </x:c>
      <x:c r="Q71" s="220" t="str">
        <x:f>IF(COUNTA($A71:$M71)=0,"",SWITCH($H71,"核心",20,"强相关",16,"一般",10,"弱相关",5,"无",0,0))</x:f>
      </x:c>
      <x:c r="R71" s="220" t="str">
        <x:f>IF(COUNTA($A71:$M71)=0,"",SWITCH($I71,"核心",20,"强相关",16,"一般",10,"弱相关",5,"无",0,0))</x:f>
      </x:c>
      <x:c r="S71" s="220" t="str">
        <x:f>IF(COUNTA($A71:$M71)=0,"",SWITCH($J71,"高",15,"中高",12,"中",9,"低",4,"待核验",8,0))</x:f>
      </x:c>
      <x:c r="T71" s="220" t="str">
        <x:f>IF(COUNTA($A71:$M71)=0,"",SUM($O71:$S71))</x:f>
      </x:c>
      <x:c r="U71" s="221" t="str">
        <x:f>IF(COUNTA($A71:$M71)=0,"",IF($N71="","待补base",IF(OR($N71&lt;30,$T71&lt;70),"不投",IF($N71&lt;35,"备选",IF($T71&gt;=85,"优先约聊","备选")))))</x:f>
      </x:c>
      <x:c r="V71" s="195"/>
      <x:c r="W71" s="222"/>
      <x:c r="X71" s="195"/>
      <x:c r="Y71" s="180"/>
    </x:row>
    <x:row r="72" ht="15" hidden="0" customHeight="1">
      <x:c r="A72" s="217"/>
      <x:c r="B72" s="195"/>
      <x:c r="C72" s="195"/>
      <x:c r="D72" s="218"/>
      <x:c r="E72" s="195"/>
      <x:c r="F72" s="195"/>
      <x:c r="G72" s="195"/>
      <x:c r="H72" s="195"/>
      <x:c r="I72" s="195"/>
      <x:c r="J72" s="195"/>
      <x:c r="K72" s="219"/>
      <x:c r="L72" s="195"/>
      <x:c r="M72" s="195"/>
      <x:c r="N72" s="219"/>
      <x:c r="O72" s="220" t="str">
        <x:f>IF(COUNTA($A72:$M72)=0,"",IF($N72="","待补",IF($N72&gt;=40,25,IF($N72&gt;=35,22,IF($N72&gt;=30,10,0)))))</x:f>
      </x:c>
      <x:c r="P72" s="220" t="str">
        <x:f>IF(COUNTA($A72:$M72)=0,"",IF(ISNUMBER($D72),IF($D72&lt;=45,20,IF($D72&lt;=60,14,IF($D72&lt;=75,8,3))),IF(OR(ISNUMBER(SEARCH("兴隆湖",$C72)),ISNUMBER(SEARCH("科学城",$C72))),20,IF(ISNUMBER(SEARCH("天府新区",$C72)),18,IF(OR(ISNUMBER(SEARCH("新川",$C72)),ISNUMBER(SEARCH("天府软件园",$C72)),ISNUMBER(SEARCH("高新南",$C72)),ISNUMBER(SEARCH("金融城",$C72))),12,5)))))</x:f>
      </x:c>
      <x:c r="Q72" s="220" t="str">
        <x:f>IF(COUNTA($A72:$M72)=0,"",SWITCH($H72,"核心",20,"强相关",16,"一般",10,"弱相关",5,"无",0,0))</x:f>
      </x:c>
      <x:c r="R72" s="220" t="str">
        <x:f>IF(COUNTA($A72:$M72)=0,"",SWITCH($I72,"核心",20,"强相关",16,"一般",10,"弱相关",5,"无",0,0))</x:f>
      </x:c>
      <x:c r="S72" s="220" t="str">
        <x:f>IF(COUNTA($A72:$M72)=0,"",SWITCH($J72,"高",15,"中高",12,"中",9,"低",4,"待核验",8,0))</x:f>
      </x:c>
      <x:c r="T72" s="220" t="str">
        <x:f>IF(COUNTA($A72:$M72)=0,"",SUM($O72:$S72))</x:f>
      </x:c>
      <x:c r="U72" s="221" t="str">
        <x:f>IF(COUNTA($A72:$M72)=0,"",IF($N72="","待补base",IF(OR($N72&lt;30,$T72&lt;70),"不投",IF($N72&lt;35,"备选",IF($T72&gt;=85,"优先约聊","备选")))))</x:f>
      </x:c>
      <x:c r="V72" s="195"/>
      <x:c r="W72" s="222"/>
      <x:c r="X72" s="195"/>
      <x:c r="Y72" s="180"/>
    </x:row>
    <x:row r="73" ht="15" hidden="0" customHeight="1">
      <x:c r="A73" s="217"/>
      <x:c r="B73" s="195"/>
      <x:c r="C73" s="195"/>
      <x:c r="D73" s="218"/>
      <x:c r="E73" s="195"/>
      <x:c r="F73" s="195"/>
      <x:c r="G73" s="195"/>
      <x:c r="H73" s="195"/>
      <x:c r="I73" s="195"/>
      <x:c r="J73" s="195"/>
      <x:c r="K73" s="219"/>
      <x:c r="L73" s="195"/>
      <x:c r="M73" s="195"/>
      <x:c r="N73" s="219"/>
      <x:c r="O73" s="220" t="str">
        <x:f>IF(COUNTA($A73:$M73)=0,"",IF($N73="","待补",IF($N73&gt;=40,25,IF($N73&gt;=35,22,IF($N73&gt;=30,10,0)))))</x:f>
      </x:c>
      <x:c r="P73" s="220" t="str">
        <x:f>IF(COUNTA($A73:$M73)=0,"",IF(ISNUMBER($D73),IF($D73&lt;=45,20,IF($D73&lt;=60,14,IF($D73&lt;=75,8,3))),IF(OR(ISNUMBER(SEARCH("兴隆湖",$C73)),ISNUMBER(SEARCH("科学城",$C73))),20,IF(ISNUMBER(SEARCH("天府新区",$C73)),18,IF(OR(ISNUMBER(SEARCH("新川",$C73)),ISNUMBER(SEARCH("天府软件园",$C73)),ISNUMBER(SEARCH("高新南",$C73)),ISNUMBER(SEARCH("金融城",$C73))),12,5)))))</x:f>
      </x:c>
      <x:c r="Q73" s="220" t="str">
        <x:f>IF(COUNTA($A73:$M73)=0,"",SWITCH($H73,"核心",20,"强相关",16,"一般",10,"弱相关",5,"无",0,0))</x:f>
      </x:c>
      <x:c r="R73" s="220" t="str">
        <x:f>IF(COUNTA($A73:$M73)=0,"",SWITCH($I73,"核心",20,"强相关",16,"一般",10,"弱相关",5,"无",0,0))</x:f>
      </x:c>
      <x:c r="S73" s="220" t="str">
        <x:f>IF(COUNTA($A73:$M73)=0,"",SWITCH($J73,"高",15,"中高",12,"中",9,"低",4,"待核验",8,0))</x:f>
      </x:c>
      <x:c r="T73" s="220" t="str">
        <x:f>IF(COUNTA($A73:$M73)=0,"",SUM($O73:$S73))</x:f>
      </x:c>
      <x:c r="U73" s="221" t="str">
        <x:f>IF(COUNTA($A73:$M73)=0,"",IF($N73="","待补base",IF(OR($N73&lt;30,$T73&lt;70),"不投",IF($N73&lt;35,"备选",IF($T73&gt;=85,"优先约聊","备选")))))</x:f>
      </x:c>
      <x:c r="V73" s="195"/>
      <x:c r="W73" s="222"/>
      <x:c r="X73" s="195"/>
      <x:c r="Y73" s="180"/>
    </x:row>
    <x:row r="74" ht="15" hidden="0" customHeight="1">
      <x:c r="A74" s="217"/>
      <x:c r="B74" s="195"/>
      <x:c r="C74" s="195"/>
      <x:c r="D74" s="218"/>
      <x:c r="E74" s="195"/>
      <x:c r="F74" s="195"/>
      <x:c r="G74" s="195"/>
      <x:c r="H74" s="195"/>
      <x:c r="I74" s="195"/>
      <x:c r="J74" s="195"/>
      <x:c r="K74" s="219"/>
      <x:c r="L74" s="195"/>
      <x:c r="M74" s="195"/>
      <x:c r="N74" s="219"/>
      <x:c r="O74" s="220" t="str">
        <x:f>IF(COUNTA($A74:$M74)=0,"",IF($N74="","待补",IF($N74&gt;=40,25,IF($N74&gt;=35,22,IF($N74&gt;=30,10,0)))))</x:f>
      </x:c>
      <x:c r="P74" s="220" t="str">
        <x:f>IF(COUNTA($A74:$M74)=0,"",IF(ISNUMBER($D74),IF($D74&lt;=45,20,IF($D74&lt;=60,14,IF($D74&lt;=75,8,3))),IF(OR(ISNUMBER(SEARCH("兴隆湖",$C74)),ISNUMBER(SEARCH("科学城",$C74))),20,IF(ISNUMBER(SEARCH("天府新区",$C74)),18,IF(OR(ISNUMBER(SEARCH("新川",$C74)),ISNUMBER(SEARCH("天府软件园",$C74)),ISNUMBER(SEARCH("高新南",$C74)),ISNUMBER(SEARCH("金融城",$C74))),12,5)))))</x:f>
      </x:c>
      <x:c r="Q74" s="220" t="str">
        <x:f>IF(COUNTA($A74:$M74)=0,"",SWITCH($H74,"核心",20,"强相关",16,"一般",10,"弱相关",5,"无",0,0))</x:f>
      </x:c>
      <x:c r="R74" s="220" t="str">
        <x:f>IF(COUNTA($A74:$M74)=0,"",SWITCH($I74,"核心",20,"强相关",16,"一般",10,"弱相关",5,"无",0,0))</x:f>
      </x:c>
      <x:c r="S74" s="220" t="str">
        <x:f>IF(COUNTA($A74:$M74)=0,"",SWITCH($J74,"高",15,"中高",12,"中",9,"低",4,"待核验",8,0))</x:f>
      </x:c>
      <x:c r="T74" s="220" t="str">
        <x:f>IF(COUNTA($A74:$M74)=0,"",SUM($O74:$S74))</x:f>
      </x:c>
      <x:c r="U74" s="221" t="str">
        <x:f>IF(COUNTA($A74:$M74)=0,"",IF($N74="","待补base",IF(OR($N74&lt;30,$T74&lt;70),"不投",IF($N74&lt;35,"备选",IF($T74&gt;=85,"优先约聊","备选")))))</x:f>
      </x:c>
      <x:c r="V74" s="195"/>
      <x:c r="W74" s="222"/>
      <x:c r="X74" s="195"/>
      <x:c r="Y74" s="180"/>
    </x:row>
    <x:row r="75" ht="15" hidden="0" customHeight="1">
      <x:c r="A75" s="217"/>
      <x:c r="B75" s="195"/>
      <x:c r="C75" s="195"/>
      <x:c r="D75" s="218"/>
      <x:c r="E75" s="195"/>
      <x:c r="F75" s="195"/>
      <x:c r="G75" s="195"/>
      <x:c r="H75" s="195"/>
      <x:c r="I75" s="195"/>
      <x:c r="J75" s="195"/>
      <x:c r="K75" s="219"/>
      <x:c r="L75" s="195"/>
      <x:c r="M75" s="195"/>
      <x:c r="N75" s="219"/>
      <x:c r="O75" s="220" t="str">
        <x:f>IF(COUNTA($A75:$M75)=0,"",IF($N75="","待补",IF($N75&gt;=40,25,IF($N75&gt;=35,22,IF($N75&gt;=30,10,0)))))</x:f>
      </x:c>
      <x:c r="P75" s="220" t="str">
        <x:f>IF(COUNTA($A75:$M75)=0,"",IF(ISNUMBER($D75),IF($D75&lt;=45,20,IF($D75&lt;=60,14,IF($D75&lt;=75,8,3))),IF(OR(ISNUMBER(SEARCH("兴隆湖",$C75)),ISNUMBER(SEARCH("科学城",$C75))),20,IF(ISNUMBER(SEARCH("天府新区",$C75)),18,IF(OR(ISNUMBER(SEARCH("新川",$C75)),ISNUMBER(SEARCH("天府软件园",$C75)),ISNUMBER(SEARCH("高新南",$C75)),ISNUMBER(SEARCH("金融城",$C75))),12,5)))))</x:f>
      </x:c>
      <x:c r="Q75" s="220" t="str">
        <x:f>IF(COUNTA($A75:$M75)=0,"",SWITCH($H75,"核心",20,"强相关",16,"一般",10,"弱相关",5,"无",0,0))</x:f>
      </x:c>
      <x:c r="R75" s="220" t="str">
        <x:f>IF(COUNTA($A75:$M75)=0,"",SWITCH($I75,"核心",20,"强相关",16,"一般",10,"弱相关",5,"无",0,0))</x:f>
      </x:c>
      <x:c r="S75" s="220" t="str">
        <x:f>IF(COUNTA($A75:$M75)=0,"",SWITCH($J75,"高",15,"中高",12,"中",9,"低",4,"待核验",8,0))</x:f>
      </x:c>
      <x:c r="T75" s="220" t="str">
        <x:f>IF(COUNTA($A75:$M75)=0,"",SUM($O75:$S75))</x:f>
      </x:c>
      <x:c r="U75" s="221" t="str">
        <x:f>IF(COUNTA($A75:$M75)=0,"",IF($N75="","待补base",IF(OR($N75&lt;30,$T75&lt;70),"不投",IF($N75&lt;35,"备选",IF($T75&gt;=85,"优先约聊","备选")))))</x:f>
      </x:c>
      <x:c r="V75" s="195"/>
      <x:c r="W75" s="222"/>
      <x:c r="X75" s="195"/>
      <x:c r="Y75" s="180"/>
    </x:row>
    <x:row r="76" ht="15" hidden="0" customHeight="1">
      <x:c r="A76" s="217"/>
      <x:c r="B76" s="195"/>
      <x:c r="C76" s="195"/>
      <x:c r="D76" s="218"/>
      <x:c r="E76" s="195"/>
      <x:c r="F76" s="195"/>
      <x:c r="G76" s="195"/>
      <x:c r="H76" s="195"/>
      <x:c r="I76" s="195"/>
      <x:c r="J76" s="195"/>
      <x:c r="K76" s="219"/>
      <x:c r="L76" s="195"/>
      <x:c r="M76" s="195"/>
      <x:c r="N76" s="219"/>
      <x:c r="O76" s="220" t="str">
        <x:f>IF(COUNTA($A76:$M76)=0,"",IF($N76="","待补",IF($N76&gt;=40,25,IF($N76&gt;=35,22,IF($N76&gt;=30,10,0)))))</x:f>
      </x:c>
      <x:c r="P76" s="220" t="str">
        <x:f>IF(COUNTA($A76:$M76)=0,"",IF(ISNUMBER($D76),IF($D76&lt;=45,20,IF($D76&lt;=60,14,IF($D76&lt;=75,8,3))),IF(OR(ISNUMBER(SEARCH("兴隆湖",$C76)),ISNUMBER(SEARCH("科学城",$C76))),20,IF(ISNUMBER(SEARCH("天府新区",$C76)),18,IF(OR(ISNUMBER(SEARCH("新川",$C76)),ISNUMBER(SEARCH("天府软件园",$C76)),ISNUMBER(SEARCH("高新南",$C76)),ISNUMBER(SEARCH("金融城",$C76))),12,5)))))</x:f>
      </x:c>
      <x:c r="Q76" s="220" t="str">
        <x:f>IF(COUNTA($A76:$M76)=0,"",SWITCH($H76,"核心",20,"强相关",16,"一般",10,"弱相关",5,"无",0,0))</x:f>
      </x:c>
      <x:c r="R76" s="220" t="str">
        <x:f>IF(COUNTA($A76:$M76)=0,"",SWITCH($I76,"核心",20,"强相关",16,"一般",10,"弱相关",5,"无",0,0))</x:f>
      </x:c>
      <x:c r="S76" s="220" t="str">
        <x:f>IF(COUNTA($A76:$M76)=0,"",SWITCH($J76,"高",15,"中高",12,"中",9,"低",4,"待核验",8,0))</x:f>
      </x:c>
      <x:c r="T76" s="220" t="str">
        <x:f>IF(COUNTA($A76:$M76)=0,"",SUM($O76:$S76))</x:f>
      </x:c>
      <x:c r="U76" s="221" t="str">
        <x:f>IF(COUNTA($A76:$M76)=0,"",IF($N76="","待补base",IF(OR($N76&lt;30,$T76&lt;70),"不投",IF($N76&lt;35,"备选",IF($T76&gt;=85,"优先约聊","备选")))))</x:f>
      </x:c>
      <x:c r="V76" s="195"/>
      <x:c r="W76" s="222"/>
      <x:c r="X76" s="195"/>
      <x:c r="Y76" s="180"/>
    </x:row>
    <x:row r="77" ht="15" hidden="0" customHeight="1">
      <x:c r="A77" s="217"/>
      <x:c r="B77" s="195"/>
      <x:c r="C77" s="195"/>
      <x:c r="D77" s="218"/>
      <x:c r="E77" s="195"/>
      <x:c r="F77" s="195"/>
      <x:c r="G77" s="195"/>
      <x:c r="H77" s="195"/>
      <x:c r="I77" s="195"/>
      <x:c r="J77" s="195"/>
      <x:c r="K77" s="219"/>
      <x:c r="L77" s="195"/>
      <x:c r="M77" s="195"/>
      <x:c r="N77" s="219"/>
      <x:c r="O77" s="220" t="str">
        <x:f>IF(COUNTA($A77:$M77)=0,"",IF($N77="","待补",IF($N77&gt;=40,25,IF($N77&gt;=35,22,IF($N77&gt;=30,10,0)))))</x:f>
      </x:c>
      <x:c r="P77" s="220" t="str">
        <x:f>IF(COUNTA($A77:$M77)=0,"",IF(ISNUMBER($D77),IF($D77&lt;=45,20,IF($D77&lt;=60,14,IF($D77&lt;=75,8,3))),IF(OR(ISNUMBER(SEARCH("兴隆湖",$C77)),ISNUMBER(SEARCH("科学城",$C77))),20,IF(ISNUMBER(SEARCH("天府新区",$C77)),18,IF(OR(ISNUMBER(SEARCH("新川",$C77)),ISNUMBER(SEARCH("天府软件园",$C77)),ISNUMBER(SEARCH("高新南",$C77)),ISNUMBER(SEARCH("金融城",$C77))),12,5)))))</x:f>
      </x:c>
      <x:c r="Q77" s="220" t="str">
        <x:f>IF(COUNTA($A77:$M77)=0,"",SWITCH($H77,"核心",20,"强相关",16,"一般",10,"弱相关",5,"无",0,0))</x:f>
      </x:c>
      <x:c r="R77" s="220" t="str">
        <x:f>IF(COUNTA($A77:$M77)=0,"",SWITCH($I77,"核心",20,"强相关",16,"一般",10,"弱相关",5,"无",0,0))</x:f>
      </x:c>
      <x:c r="S77" s="220" t="str">
        <x:f>IF(COUNTA($A77:$M77)=0,"",SWITCH($J77,"高",15,"中高",12,"中",9,"低",4,"待核验",8,0))</x:f>
      </x:c>
      <x:c r="T77" s="220" t="str">
        <x:f>IF(COUNTA($A77:$M77)=0,"",SUM($O77:$S77))</x:f>
      </x:c>
      <x:c r="U77" s="221" t="str">
        <x:f>IF(COUNTA($A77:$M77)=0,"",IF($N77="","待补base",IF(OR($N77&lt;30,$T77&lt;70),"不投",IF($N77&lt;35,"备选",IF($T77&gt;=85,"优先约聊","备选")))))</x:f>
      </x:c>
      <x:c r="V77" s="195"/>
      <x:c r="W77" s="222"/>
      <x:c r="X77" s="195"/>
      <x:c r="Y77" s="180"/>
    </x:row>
    <x:row r="78" ht="15" hidden="0" customHeight="1">
      <x:c r="A78" s="217"/>
      <x:c r="B78" s="195"/>
      <x:c r="C78" s="195"/>
      <x:c r="D78" s="218"/>
      <x:c r="E78" s="195"/>
      <x:c r="F78" s="195"/>
      <x:c r="G78" s="195"/>
      <x:c r="H78" s="195"/>
      <x:c r="I78" s="195"/>
      <x:c r="J78" s="195"/>
      <x:c r="K78" s="219"/>
      <x:c r="L78" s="195"/>
      <x:c r="M78" s="195"/>
      <x:c r="N78" s="219"/>
      <x:c r="O78" s="220" t="str">
        <x:f>IF(COUNTA($A78:$M78)=0,"",IF($N78="","待补",IF($N78&gt;=40,25,IF($N78&gt;=35,22,IF($N78&gt;=30,10,0)))))</x:f>
      </x:c>
      <x:c r="P78" s="220" t="str">
        <x:f>IF(COUNTA($A78:$M78)=0,"",IF(ISNUMBER($D78),IF($D78&lt;=45,20,IF($D78&lt;=60,14,IF($D78&lt;=75,8,3))),IF(OR(ISNUMBER(SEARCH("兴隆湖",$C78)),ISNUMBER(SEARCH("科学城",$C78))),20,IF(ISNUMBER(SEARCH("天府新区",$C78)),18,IF(OR(ISNUMBER(SEARCH("新川",$C78)),ISNUMBER(SEARCH("天府软件园",$C78)),ISNUMBER(SEARCH("高新南",$C78)),ISNUMBER(SEARCH("金融城",$C78))),12,5)))))</x:f>
      </x:c>
      <x:c r="Q78" s="220" t="str">
        <x:f>IF(COUNTA($A78:$M78)=0,"",SWITCH($H78,"核心",20,"强相关",16,"一般",10,"弱相关",5,"无",0,0))</x:f>
      </x:c>
      <x:c r="R78" s="220" t="str">
        <x:f>IF(COUNTA($A78:$M78)=0,"",SWITCH($I78,"核心",20,"强相关",16,"一般",10,"弱相关",5,"无",0,0))</x:f>
      </x:c>
      <x:c r="S78" s="220" t="str">
        <x:f>IF(COUNTA($A78:$M78)=0,"",SWITCH($J78,"高",15,"中高",12,"中",9,"低",4,"待核验",8,0))</x:f>
      </x:c>
      <x:c r="T78" s="220" t="str">
        <x:f>IF(COUNTA($A78:$M78)=0,"",SUM($O78:$S78))</x:f>
      </x:c>
      <x:c r="U78" s="221" t="str">
        <x:f>IF(COUNTA($A78:$M78)=0,"",IF($N78="","待补base",IF(OR($N78&lt;30,$T78&lt;70),"不投",IF($N78&lt;35,"备选",IF($T78&gt;=85,"优先约聊","备选")))))</x:f>
      </x:c>
      <x:c r="V78" s="195"/>
      <x:c r="W78" s="222"/>
      <x:c r="X78" s="195"/>
      <x:c r="Y78" s="180"/>
    </x:row>
    <x:row r="79" ht="15" hidden="0" customHeight="1">
      <x:c r="A79" s="217"/>
      <x:c r="B79" s="195"/>
      <x:c r="C79" s="195"/>
      <x:c r="D79" s="218"/>
      <x:c r="E79" s="195"/>
      <x:c r="F79" s="195"/>
      <x:c r="G79" s="195"/>
      <x:c r="H79" s="195"/>
      <x:c r="I79" s="195"/>
      <x:c r="J79" s="195"/>
      <x:c r="K79" s="219"/>
      <x:c r="L79" s="195"/>
      <x:c r="M79" s="195"/>
      <x:c r="N79" s="219"/>
      <x:c r="O79" s="220" t="str">
        <x:f>IF(COUNTA($A79:$M79)=0,"",IF($N79="","待补",IF($N79&gt;=40,25,IF($N79&gt;=35,22,IF($N79&gt;=30,10,0)))))</x:f>
      </x:c>
      <x:c r="P79" s="220" t="str">
        <x:f>IF(COUNTA($A79:$M79)=0,"",IF(ISNUMBER($D79),IF($D79&lt;=45,20,IF($D79&lt;=60,14,IF($D79&lt;=75,8,3))),IF(OR(ISNUMBER(SEARCH("兴隆湖",$C79)),ISNUMBER(SEARCH("科学城",$C79))),20,IF(ISNUMBER(SEARCH("天府新区",$C79)),18,IF(OR(ISNUMBER(SEARCH("新川",$C79)),ISNUMBER(SEARCH("天府软件园",$C79)),ISNUMBER(SEARCH("高新南",$C79)),ISNUMBER(SEARCH("金融城",$C79))),12,5)))))</x:f>
      </x:c>
      <x:c r="Q79" s="220" t="str">
        <x:f>IF(COUNTA($A79:$M79)=0,"",SWITCH($H79,"核心",20,"强相关",16,"一般",10,"弱相关",5,"无",0,0))</x:f>
      </x:c>
      <x:c r="R79" s="220" t="str">
        <x:f>IF(COUNTA($A79:$M79)=0,"",SWITCH($I79,"核心",20,"强相关",16,"一般",10,"弱相关",5,"无",0,0))</x:f>
      </x:c>
      <x:c r="S79" s="220" t="str">
        <x:f>IF(COUNTA($A79:$M79)=0,"",SWITCH($J79,"高",15,"中高",12,"中",9,"低",4,"待核验",8,0))</x:f>
      </x:c>
      <x:c r="T79" s="220" t="str">
        <x:f>IF(COUNTA($A79:$M79)=0,"",SUM($O79:$S79))</x:f>
      </x:c>
      <x:c r="U79" s="221" t="str">
        <x:f>IF(COUNTA($A79:$M79)=0,"",IF($N79="","待补base",IF(OR($N79&lt;30,$T79&lt;70),"不投",IF($N79&lt;35,"备选",IF($T79&gt;=85,"优先约聊","备选")))))</x:f>
      </x:c>
      <x:c r="V79" s="195"/>
      <x:c r="W79" s="222"/>
      <x:c r="X79" s="195"/>
      <x:c r="Y79" s="180"/>
    </x:row>
    <x:row r="80" ht="15" hidden="0" customHeight="1">
      <x:c r="A80" s="217"/>
      <x:c r="B80" s="195"/>
      <x:c r="C80" s="195"/>
      <x:c r="D80" s="218"/>
      <x:c r="E80" s="195"/>
      <x:c r="F80" s="195"/>
      <x:c r="G80" s="195"/>
      <x:c r="H80" s="195"/>
      <x:c r="I80" s="195"/>
      <x:c r="J80" s="195"/>
      <x:c r="K80" s="219"/>
      <x:c r="L80" s="195"/>
      <x:c r="M80" s="195"/>
      <x:c r="N80" s="219"/>
      <x:c r="O80" s="220" t="str">
        <x:f>IF(COUNTA($A80:$M80)=0,"",IF($N80="","待补",IF($N80&gt;=40,25,IF($N80&gt;=35,22,IF($N80&gt;=30,10,0)))))</x:f>
      </x:c>
      <x:c r="P80" s="220" t="str">
        <x:f>IF(COUNTA($A80:$M80)=0,"",IF(ISNUMBER($D80),IF($D80&lt;=45,20,IF($D80&lt;=60,14,IF($D80&lt;=75,8,3))),IF(OR(ISNUMBER(SEARCH("兴隆湖",$C80)),ISNUMBER(SEARCH("科学城",$C80))),20,IF(ISNUMBER(SEARCH("天府新区",$C80)),18,IF(OR(ISNUMBER(SEARCH("新川",$C80)),ISNUMBER(SEARCH("天府软件园",$C80)),ISNUMBER(SEARCH("高新南",$C80)),ISNUMBER(SEARCH("金融城",$C80))),12,5)))))</x:f>
      </x:c>
      <x:c r="Q80" s="220" t="str">
        <x:f>IF(COUNTA($A80:$M80)=0,"",SWITCH($H80,"核心",20,"强相关",16,"一般",10,"弱相关",5,"无",0,0))</x:f>
      </x:c>
      <x:c r="R80" s="220" t="str">
        <x:f>IF(COUNTA($A80:$M80)=0,"",SWITCH($I80,"核心",20,"强相关",16,"一般",10,"弱相关",5,"无",0,0))</x:f>
      </x:c>
      <x:c r="S80" s="220" t="str">
        <x:f>IF(COUNTA($A80:$M80)=0,"",SWITCH($J80,"高",15,"中高",12,"中",9,"低",4,"待核验",8,0))</x:f>
      </x:c>
      <x:c r="T80" s="220" t="str">
        <x:f>IF(COUNTA($A80:$M80)=0,"",SUM($O80:$S80))</x:f>
      </x:c>
      <x:c r="U80" s="221" t="str">
        <x:f>IF(COUNTA($A80:$M80)=0,"",IF($N80="","待补base",IF(OR($N80&lt;30,$T80&lt;70),"不投",IF($N80&lt;35,"备选",IF($T80&gt;=85,"优先约聊","备选")))))</x:f>
      </x:c>
      <x:c r="V80" s="195"/>
      <x:c r="W80" s="222"/>
      <x:c r="X80" s="195"/>
      <x:c r="Y80" s="180"/>
    </x:row>
    <x:row r="81" ht="15" hidden="0" customHeight="1">
      <x:c r="A81" s="217"/>
      <x:c r="B81" s="195"/>
      <x:c r="C81" s="195"/>
      <x:c r="D81" s="218"/>
      <x:c r="E81" s="195"/>
      <x:c r="F81" s="195"/>
      <x:c r="G81" s="195"/>
      <x:c r="H81" s="195"/>
      <x:c r="I81" s="195"/>
      <x:c r="J81" s="195"/>
      <x:c r="K81" s="219"/>
      <x:c r="L81" s="195"/>
      <x:c r="M81" s="195"/>
      <x:c r="N81" s="219"/>
      <x:c r="O81" s="220" t="str">
        <x:f>IF(COUNTA($A81:$M81)=0,"",IF($N81="","待补",IF($N81&gt;=40,25,IF($N81&gt;=35,22,IF($N81&gt;=30,10,0)))))</x:f>
      </x:c>
      <x:c r="P81" s="220" t="str">
        <x:f>IF(COUNTA($A81:$M81)=0,"",IF(ISNUMBER($D81),IF($D81&lt;=45,20,IF($D81&lt;=60,14,IF($D81&lt;=75,8,3))),IF(OR(ISNUMBER(SEARCH("兴隆湖",$C81)),ISNUMBER(SEARCH("科学城",$C81))),20,IF(ISNUMBER(SEARCH("天府新区",$C81)),18,IF(OR(ISNUMBER(SEARCH("新川",$C81)),ISNUMBER(SEARCH("天府软件园",$C81)),ISNUMBER(SEARCH("高新南",$C81)),ISNUMBER(SEARCH("金融城",$C81))),12,5)))))</x:f>
      </x:c>
      <x:c r="Q81" s="220" t="str">
        <x:f>IF(COUNTA($A81:$M81)=0,"",SWITCH($H81,"核心",20,"强相关",16,"一般",10,"弱相关",5,"无",0,0))</x:f>
      </x:c>
      <x:c r="R81" s="220" t="str">
        <x:f>IF(COUNTA($A81:$M81)=0,"",SWITCH($I81,"核心",20,"强相关",16,"一般",10,"弱相关",5,"无",0,0))</x:f>
      </x:c>
      <x:c r="S81" s="220" t="str">
        <x:f>IF(COUNTA($A81:$M81)=0,"",SWITCH($J81,"高",15,"中高",12,"中",9,"低",4,"待核验",8,0))</x:f>
      </x:c>
      <x:c r="T81" s="220" t="str">
        <x:f>IF(COUNTA($A81:$M81)=0,"",SUM($O81:$S81))</x:f>
      </x:c>
      <x:c r="U81" s="221" t="str">
        <x:f>IF(COUNTA($A81:$M81)=0,"",IF($N81="","待补base",IF(OR($N81&lt;30,$T81&lt;70),"不投",IF($N81&lt;35,"备选",IF($T81&gt;=85,"优先约聊","备选")))))</x:f>
      </x:c>
      <x:c r="V81" s="195"/>
      <x:c r="W81" s="222"/>
      <x:c r="X81" s="195"/>
      <x:c r="Y81" s="180"/>
    </x:row>
    <x:row r="82" ht="15" hidden="0" customHeight="1">
      <x:c r="A82" s="217"/>
      <x:c r="B82" s="195"/>
      <x:c r="C82" s="195"/>
      <x:c r="D82" s="218"/>
      <x:c r="E82" s="195"/>
      <x:c r="F82" s="195"/>
      <x:c r="G82" s="195"/>
      <x:c r="H82" s="195"/>
      <x:c r="I82" s="195"/>
      <x:c r="J82" s="195"/>
      <x:c r="K82" s="219"/>
      <x:c r="L82" s="195"/>
      <x:c r="M82" s="195"/>
      <x:c r="N82" s="219"/>
      <x:c r="O82" s="220" t="str">
        <x:f>IF(COUNTA($A82:$M82)=0,"",IF($N82="","待补",IF($N82&gt;=40,25,IF($N82&gt;=35,22,IF($N82&gt;=30,10,0)))))</x:f>
      </x:c>
      <x:c r="P82" s="220" t="str">
        <x:f>IF(COUNTA($A82:$M82)=0,"",IF(ISNUMBER($D82),IF($D82&lt;=45,20,IF($D82&lt;=60,14,IF($D82&lt;=75,8,3))),IF(OR(ISNUMBER(SEARCH("兴隆湖",$C82)),ISNUMBER(SEARCH("科学城",$C82))),20,IF(ISNUMBER(SEARCH("天府新区",$C82)),18,IF(OR(ISNUMBER(SEARCH("新川",$C82)),ISNUMBER(SEARCH("天府软件园",$C82)),ISNUMBER(SEARCH("高新南",$C82)),ISNUMBER(SEARCH("金融城",$C82))),12,5)))))</x:f>
      </x:c>
      <x:c r="Q82" s="220" t="str">
        <x:f>IF(COUNTA($A82:$M82)=0,"",SWITCH($H82,"核心",20,"强相关",16,"一般",10,"弱相关",5,"无",0,0))</x:f>
      </x:c>
      <x:c r="R82" s="220" t="str">
        <x:f>IF(COUNTA($A82:$M82)=0,"",SWITCH($I82,"核心",20,"强相关",16,"一般",10,"弱相关",5,"无",0,0))</x:f>
      </x:c>
      <x:c r="S82" s="220" t="str">
        <x:f>IF(COUNTA($A82:$M82)=0,"",SWITCH($J82,"高",15,"中高",12,"中",9,"低",4,"待核验",8,0))</x:f>
      </x:c>
      <x:c r="T82" s="220" t="str">
        <x:f>IF(COUNTA($A82:$M82)=0,"",SUM($O82:$S82))</x:f>
      </x:c>
      <x:c r="U82" s="221" t="str">
        <x:f>IF(COUNTA($A82:$M82)=0,"",IF($N82="","待补base",IF(OR($N82&lt;30,$T82&lt;70),"不投",IF($N82&lt;35,"备选",IF($T82&gt;=85,"优先约聊","备选")))))</x:f>
      </x:c>
      <x:c r="V82" s="195"/>
      <x:c r="W82" s="222"/>
      <x:c r="X82" s="195"/>
      <x:c r="Y82" s="180"/>
    </x:row>
    <x:row r="83" ht="15" hidden="0" customHeight="1">
      <x:c r="A83" s="217"/>
      <x:c r="B83" s="195"/>
      <x:c r="C83" s="195"/>
      <x:c r="D83" s="218"/>
      <x:c r="E83" s="195"/>
      <x:c r="F83" s="195"/>
      <x:c r="G83" s="195"/>
      <x:c r="H83" s="195"/>
      <x:c r="I83" s="195"/>
      <x:c r="J83" s="195"/>
      <x:c r="K83" s="219"/>
      <x:c r="L83" s="195"/>
      <x:c r="M83" s="195"/>
      <x:c r="N83" s="219"/>
      <x:c r="O83" s="220" t="str">
        <x:f>IF(COUNTA($A83:$M83)=0,"",IF($N83="","待补",IF($N83&gt;=40,25,IF($N83&gt;=35,22,IF($N83&gt;=30,10,0)))))</x:f>
      </x:c>
      <x:c r="P83" s="220" t="str">
        <x:f>IF(COUNTA($A83:$M83)=0,"",IF(ISNUMBER($D83),IF($D83&lt;=45,20,IF($D83&lt;=60,14,IF($D83&lt;=75,8,3))),IF(OR(ISNUMBER(SEARCH("兴隆湖",$C83)),ISNUMBER(SEARCH("科学城",$C83))),20,IF(ISNUMBER(SEARCH("天府新区",$C83)),18,IF(OR(ISNUMBER(SEARCH("新川",$C83)),ISNUMBER(SEARCH("天府软件园",$C83)),ISNUMBER(SEARCH("高新南",$C83)),ISNUMBER(SEARCH("金融城",$C83))),12,5)))))</x:f>
      </x:c>
      <x:c r="Q83" s="220" t="str">
        <x:f>IF(COUNTA($A83:$M83)=0,"",SWITCH($H83,"核心",20,"强相关",16,"一般",10,"弱相关",5,"无",0,0))</x:f>
      </x:c>
      <x:c r="R83" s="220" t="str">
        <x:f>IF(COUNTA($A83:$M83)=0,"",SWITCH($I83,"核心",20,"强相关",16,"一般",10,"弱相关",5,"无",0,0))</x:f>
      </x:c>
      <x:c r="S83" s="220" t="str">
        <x:f>IF(COUNTA($A83:$M83)=0,"",SWITCH($J83,"高",15,"中高",12,"中",9,"低",4,"待核验",8,0))</x:f>
      </x:c>
      <x:c r="T83" s="220" t="str">
        <x:f>IF(COUNTA($A83:$M83)=0,"",SUM($O83:$S83))</x:f>
      </x:c>
      <x:c r="U83" s="221" t="str">
        <x:f>IF(COUNTA($A83:$M83)=0,"",IF($N83="","待补base",IF(OR($N83&lt;30,$T83&lt;70),"不投",IF($N83&lt;35,"备选",IF($T83&gt;=85,"优先约聊","备选")))))</x:f>
      </x:c>
      <x:c r="V83" s="195"/>
      <x:c r="W83" s="222"/>
      <x:c r="X83" s="195"/>
      <x:c r="Y83" s="180"/>
    </x:row>
    <x:row r="84" ht="15" hidden="0" customHeight="1">
      <x:c r="A84" s="217"/>
      <x:c r="B84" s="195"/>
      <x:c r="C84" s="195"/>
      <x:c r="D84" s="218"/>
      <x:c r="E84" s="195"/>
      <x:c r="F84" s="195"/>
      <x:c r="G84" s="195"/>
      <x:c r="H84" s="195"/>
      <x:c r="I84" s="195"/>
      <x:c r="J84" s="195"/>
      <x:c r="K84" s="219"/>
      <x:c r="L84" s="195"/>
      <x:c r="M84" s="195"/>
      <x:c r="N84" s="219"/>
      <x:c r="O84" s="220" t="str">
        <x:f>IF(COUNTA($A84:$M84)=0,"",IF($N84="","待补",IF($N84&gt;=40,25,IF($N84&gt;=35,22,IF($N84&gt;=30,10,0)))))</x:f>
      </x:c>
      <x:c r="P84" s="220" t="str">
        <x:f>IF(COUNTA($A84:$M84)=0,"",IF(ISNUMBER($D84),IF($D84&lt;=45,20,IF($D84&lt;=60,14,IF($D84&lt;=75,8,3))),IF(OR(ISNUMBER(SEARCH("兴隆湖",$C84)),ISNUMBER(SEARCH("科学城",$C84))),20,IF(ISNUMBER(SEARCH("天府新区",$C84)),18,IF(OR(ISNUMBER(SEARCH("新川",$C84)),ISNUMBER(SEARCH("天府软件园",$C84)),ISNUMBER(SEARCH("高新南",$C84)),ISNUMBER(SEARCH("金融城",$C84))),12,5)))))</x:f>
      </x:c>
      <x:c r="Q84" s="220" t="str">
        <x:f>IF(COUNTA($A84:$M84)=0,"",SWITCH($H84,"核心",20,"强相关",16,"一般",10,"弱相关",5,"无",0,0))</x:f>
      </x:c>
      <x:c r="R84" s="220" t="str">
        <x:f>IF(COUNTA($A84:$M84)=0,"",SWITCH($I84,"核心",20,"强相关",16,"一般",10,"弱相关",5,"无",0,0))</x:f>
      </x:c>
      <x:c r="S84" s="220" t="str">
        <x:f>IF(COUNTA($A84:$M84)=0,"",SWITCH($J84,"高",15,"中高",12,"中",9,"低",4,"待核验",8,0))</x:f>
      </x:c>
      <x:c r="T84" s="220" t="str">
        <x:f>IF(COUNTA($A84:$M84)=0,"",SUM($O84:$S84))</x:f>
      </x:c>
      <x:c r="U84" s="221" t="str">
        <x:f>IF(COUNTA($A84:$M84)=0,"",IF($N84="","待补base",IF(OR($N84&lt;30,$T84&lt;70),"不投",IF($N84&lt;35,"备选",IF($T84&gt;=85,"优先约聊","备选")))))</x:f>
      </x:c>
      <x:c r="V84" s="195"/>
      <x:c r="W84" s="222"/>
      <x:c r="X84" s="195"/>
      <x:c r="Y84" s="180"/>
    </x:row>
    <x:row r="85" ht="15" hidden="0" customHeight="1">
      <x:c r="A85" s="217"/>
      <x:c r="B85" s="195"/>
      <x:c r="C85" s="195"/>
      <x:c r="D85" s="218"/>
      <x:c r="E85" s="195"/>
      <x:c r="F85" s="195"/>
      <x:c r="G85" s="195"/>
      <x:c r="H85" s="195"/>
      <x:c r="I85" s="195"/>
      <x:c r="J85" s="195"/>
      <x:c r="K85" s="219"/>
      <x:c r="L85" s="195"/>
      <x:c r="M85" s="195"/>
      <x:c r="N85" s="219"/>
      <x:c r="O85" s="220" t="str">
        <x:f>IF(COUNTA($A85:$M85)=0,"",IF($N85="","待补",IF($N85&gt;=40,25,IF($N85&gt;=35,22,IF($N85&gt;=30,10,0)))))</x:f>
      </x:c>
      <x:c r="P85" s="220" t="str">
        <x:f>IF(COUNTA($A85:$M85)=0,"",IF(ISNUMBER($D85),IF($D85&lt;=45,20,IF($D85&lt;=60,14,IF($D85&lt;=75,8,3))),IF(OR(ISNUMBER(SEARCH("兴隆湖",$C85)),ISNUMBER(SEARCH("科学城",$C85))),20,IF(ISNUMBER(SEARCH("天府新区",$C85)),18,IF(OR(ISNUMBER(SEARCH("新川",$C85)),ISNUMBER(SEARCH("天府软件园",$C85)),ISNUMBER(SEARCH("高新南",$C85)),ISNUMBER(SEARCH("金融城",$C85))),12,5)))))</x:f>
      </x:c>
      <x:c r="Q85" s="220" t="str">
        <x:f>IF(COUNTA($A85:$M85)=0,"",SWITCH($H85,"核心",20,"强相关",16,"一般",10,"弱相关",5,"无",0,0))</x:f>
      </x:c>
      <x:c r="R85" s="220" t="str">
        <x:f>IF(COUNTA($A85:$M85)=0,"",SWITCH($I85,"核心",20,"强相关",16,"一般",10,"弱相关",5,"无",0,0))</x:f>
      </x:c>
      <x:c r="S85" s="220" t="str">
        <x:f>IF(COUNTA($A85:$M85)=0,"",SWITCH($J85,"高",15,"中高",12,"中",9,"低",4,"待核验",8,0))</x:f>
      </x:c>
      <x:c r="T85" s="220" t="str">
        <x:f>IF(COUNTA($A85:$M85)=0,"",SUM($O85:$S85))</x:f>
      </x:c>
      <x:c r="U85" s="221" t="str">
        <x:f>IF(COUNTA($A85:$M85)=0,"",IF($N85="","待补base",IF(OR($N85&lt;30,$T85&lt;70),"不投",IF($N85&lt;35,"备选",IF($T85&gt;=85,"优先约聊","备选")))))</x:f>
      </x:c>
      <x:c r="V85" s="195"/>
      <x:c r="W85" s="222"/>
      <x:c r="X85" s="195"/>
      <x:c r="Y85" s="180"/>
    </x:row>
    <x:row r="86" ht="15" hidden="0" customHeight="1">
      <x:c r="A86" s="217"/>
      <x:c r="B86" s="195"/>
      <x:c r="C86" s="195"/>
      <x:c r="D86" s="218"/>
      <x:c r="E86" s="195"/>
      <x:c r="F86" s="195"/>
      <x:c r="G86" s="195"/>
      <x:c r="H86" s="195"/>
      <x:c r="I86" s="195"/>
      <x:c r="J86" s="195"/>
      <x:c r="K86" s="219"/>
      <x:c r="L86" s="195"/>
      <x:c r="M86" s="195"/>
      <x:c r="N86" s="219"/>
      <x:c r="O86" s="220" t="str">
        <x:f>IF(COUNTA($A86:$M86)=0,"",IF($N86="","待补",IF($N86&gt;=40,25,IF($N86&gt;=35,22,IF($N86&gt;=30,10,0)))))</x:f>
      </x:c>
      <x:c r="P86" s="220" t="str">
        <x:f>IF(COUNTA($A86:$M86)=0,"",IF(ISNUMBER($D86),IF($D86&lt;=45,20,IF($D86&lt;=60,14,IF($D86&lt;=75,8,3))),IF(OR(ISNUMBER(SEARCH("兴隆湖",$C86)),ISNUMBER(SEARCH("科学城",$C86))),20,IF(ISNUMBER(SEARCH("天府新区",$C86)),18,IF(OR(ISNUMBER(SEARCH("新川",$C86)),ISNUMBER(SEARCH("天府软件园",$C86)),ISNUMBER(SEARCH("高新南",$C86)),ISNUMBER(SEARCH("金融城",$C86))),12,5)))))</x:f>
      </x:c>
      <x:c r="Q86" s="220" t="str">
        <x:f>IF(COUNTA($A86:$M86)=0,"",SWITCH($H86,"核心",20,"强相关",16,"一般",10,"弱相关",5,"无",0,0))</x:f>
      </x:c>
      <x:c r="R86" s="220" t="str">
        <x:f>IF(COUNTA($A86:$M86)=0,"",SWITCH($I86,"核心",20,"强相关",16,"一般",10,"弱相关",5,"无",0,0))</x:f>
      </x:c>
      <x:c r="S86" s="220" t="str">
        <x:f>IF(COUNTA($A86:$M86)=0,"",SWITCH($J86,"高",15,"中高",12,"中",9,"低",4,"待核验",8,0))</x:f>
      </x:c>
      <x:c r="T86" s="220" t="str">
        <x:f>IF(COUNTA($A86:$M86)=0,"",SUM($O86:$S86))</x:f>
      </x:c>
      <x:c r="U86" s="221" t="str">
        <x:f>IF(COUNTA($A86:$M86)=0,"",IF($N86="","待补base",IF(OR($N86&lt;30,$T86&lt;70),"不投",IF($N86&lt;35,"备选",IF($T86&gt;=85,"优先约聊","备选")))))</x:f>
      </x:c>
      <x:c r="V86" s="195"/>
      <x:c r="W86" s="222"/>
      <x:c r="X86" s="195"/>
      <x:c r="Y86" s="180"/>
    </x:row>
    <x:row r="87" ht="15" hidden="0" customHeight="1">
      <x:c r="A87" s="217"/>
      <x:c r="B87" s="195"/>
      <x:c r="C87" s="195"/>
      <x:c r="D87" s="218"/>
      <x:c r="E87" s="195"/>
      <x:c r="F87" s="195"/>
      <x:c r="G87" s="195"/>
      <x:c r="H87" s="195"/>
      <x:c r="I87" s="195"/>
      <x:c r="J87" s="195"/>
      <x:c r="K87" s="219"/>
      <x:c r="L87" s="195"/>
      <x:c r="M87" s="195"/>
      <x:c r="N87" s="219"/>
      <x:c r="O87" s="220" t="str">
        <x:f>IF(COUNTA($A87:$M87)=0,"",IF($N87="","待补",IF($N87&gt;=40,25,IF($N87&gt;=35,22,IF($N87&gt;=30,10,0)))))</x:f>
      </x:c>
      <x:c r="P87" s="220" t="str">
        <x:f>IF(COUNTA($A87:$M87)=0,"",IF(ISNUMBER($D87),IF($D87&lt;=45,20,IF($D87&lt;=60,14,IF($D87&lt;=75,8,3))),IF(OR(ISNUMBER(SEARCH("兴隆湖",$C87)),ISNUMBER(SEARCH("科学城",$C87))),20,IF(ISNUMBER(SEARCH("天府新区",$C87)),18,IF(OR(ISNUMBER(SEARCH("新川",$C87)),ISNUMBER(SEARCH("天府软件园",$C87)),ISNUMBER(SEARCH("高新南",$C87)),ISNUMBER(SEARCH("金融城",$C87))),12,5)))))</x:f>
      </x:c>
      <x:c r="Q87" s="220" t="str">
        <x:f>IF(COUNTA($A87:$M87)=0,"",SWITCH($H87,"核心",20,"强相关",16,"一般",10,"弱相关",5,"无",0,0))</x:f>
      </x:c>
      <x:c r="R87" s="220" t="str">
        <x:f>IF(COUNTA($A87:$M87)=0,"",SWITCH($I87,"核心",20,"强相关",16,"一般",10,"弱相关",5,"无",0,0))</x:f>
      </x:c>
      <x:c r="S87" s="220" t="str">
        <x:f>IF(COUNTA($A87:$M87)=0,"",SWITCH($J87,"高",15,"中高",12,"中",9,"低",4,"待核验",8,0))</x:f>
      </x:c>
      <x:c r="T87" s="220" t="str">
        <x:f>IF(COUNTA($A87:$M87)=0,"",SUM($O87:$S87))</x:f>
      </x:c>
      <x:c r="U87" s="221" t="str">
        <x:f>IF(COUNTA($A87:$M87)=0,"",IF($N87="","待补base",IF(OR($N87&lt;30,$T87&lt;70),"不投",IF($N87&lt;35,"备选",IF($T87&gt;=85,"优先约聊","备选")))))</x:f>
      </x:c>
      <x:c r="V87" s="195"/>
      <x:c r="W87" s="222"/>
      <x:c r="X87" s="195"/>
      <x:c r="Y87" s="180"/>
    </x:row>
    <x:row r="88" ht="15" hidden="0" customHeight="1">
      <x:c r="A88" s="217"/>
      <x:c r="B88" s="195"/>
      <x:c r="C88" s="195"/>
      <x:c r="D88" s="218"/>
      <x:c r="E88" s="195"/>
      <x:c r="F88" s="195"/>
      <x:c r="G88" s="195"/>
      <x:c r="H88" s="195"/>
      <x:c r="I88" s="195"/>
      <x:c r="J88" s="195"/>
      <x:c r="K88" s="219"/>
      <x:c r="L88" s="195"/>
      <x:c r="M88" s="195"/>
      <x:c r="N88" s="219"/>
      <x:c r="O88" s="220" t="str">
        <x:f>IF(COUNTA($A88:$M88)=0,"",IF($N88="","待补",IF($N88&gt;=40,25,IF($N88&gt;=35,22,IF($N88&gt;=30,10,0)))))</x:f>
      </x:c>
      <x:c r="P88" s="220" t="str">
        <x:f>IF(COUNTA($A88:$M88)=0,"",IF(ISNUMBER($D88),IF($D88&lt;=45,20,IF($D88&lt;=60,14,IF($D88&lt;=75,8,3))),IF(OR(ISNUMBER(SEARCH("兴隆湖",$C88)),ISNUMBER(SEARCH("科学城",$C88))),20,IF(ISNUMBER(SEARCH("天府新区",$C88)),18,IF(OR(ISNUMBER(SEARCH("新川",$C88)),ISNUMBER(SEARCH("天府软件园",$C88)),ISNUMBER(SEARCH("高新南",$C88)),ISNUMBER(SEARCH("金融城",$C88))),12,5)))))</x:f>
      </x:c>
      <x:c r="Q88" s="220" t="str">
        <x:f>IF(COUNTA($A88:$M88)=0,"",SWITCH($H88,"核心",20,"强相关",16,"一般",10,"弱相关",5,"无",0,0))</x:f>
      </x:c>
      <x:c r="R88" s="220" t="str">
        <x:f>IF(COUNTA($A88:$M88)=0,"",SWITCH($I88,"核心",20,"强相关",16,"一般",10,"弱相关",5,"无",0,0))</x:f>
      </x:c>
      <x:c r="S88" s="220" t="str">
        <x:f>IF(COUNTA($A88:$M88)=0,"",SWITCH($J88,"高",15,"中高",12,"中",9,"低",4,"待核验",8,0))</x:f>
      </x:c>
      <x:c r="T88" s="220" t="str">
        <x:f>IF(COUNTA($A88:$M88)=0,"",SUM($O88:$S88))</x:f>
      </x:c>
      <x:c r="U88" s="221" t="str">
        <x:f>IF(COUNTA($A88:$M88)=0,"",IF($N88="","待补base",IF(OR($N88&lt;30,$T88&lt;70),"不投",IF($N88&lt;35,"备选",IF($T88&gt;=85,"优先约聊","备选")))))</x:f>
      </x:c>
      <x:c r="V88" s="195"/>
      <x:c r="W88" s="222"/>
      <x:c r="X88" s="195"/>
      <x:c r="Y88" s="180"/>
    </x:row>
    <x:row r="89" ht="15" hidden="0" customHeight="1">
      <x:c r="A89" s="217"/>
      <x:c r="B89" s="195"/>
      <x:c r="C89" s="195"/>
      <x:c r="D89" s="218"/>
      <x:c r="E89" s="195"/>
      <x:c r="F89" s="195"/>
      <x:c r="G89" s="195"/>
      <x:c r="H89" s="195"/>
      <x:c r="I89" s="195"/>
      <x:c r="J89" s="195"/>
      <x:c r="K89" s="219"/>
      <x:c r="L89" s="195"/>
      <x:c r="M89" s="195"/>
      <x:c r="N89" s="219"/>
      <x:c r="O89" s="220" t="str">
        <x:f>IF(COUNTA($A89:$M89)=0,"",IF($N89="","待补",IF($N89&gt;=40,25,IF($N89&gt;=35,22,IF($N89&gt;=30,10,0)))))</x:f>
      </x:c>
      <x:c r="P89" s="220" t="str">
        <x:f>IF(COUNTA($A89:$M89)=0,"",IF(ISNUMBER($D89),IF($D89&lt;=45,20,IF($D89&lt;=60,14,IF($D89&lt;=75,8,3))),IF(OR(ISNUMBER(SEARCH("兴隆湖",$C89)),ISNUMBER(SEARCH("科学城",$C89))),20,IF(ISNUMBER(SEARCH("天府新区",$C89)),18,IF(OR(ISNUMBER(SEARCH("新川",$C89)),ISNUMBER(SEARCH("天府软件园",$C89)),ISNUMBER(SEARCH("高新南",$C89)),ISNUMBER(SEARCH("金融城",$C89))),12,5)))))</x:f>
      </x:c>
      <x:c r="Q89" s="220" t="str">
        <x:f>IF(COUNTA($A89:$M89)=0,"",SWITCH($H89,"核心",20,"强相关",16,"一般",10,"弱相关",5,"无",0,0))</x:f>
      </x:c>
      <x:c r="R89" s="220" t="str">
        <x:f>IF(COUNTA($A89:$M89)=0,"",SWITCH($I89,"核心",20,"强相关",16,"一般",10,"弱相关",5,"无",0,0))</x:f>
      </x:c>
      <x:c r="S89" s="220" t="str">
        <x:f>IF(COUNTA($A89:$M89)=0,"",SWITCH($J89,"高",15,"中高",12,"中",9,"低",4,"待核验",8,0))</x:f>
      </x:c>
      <x:c r="T89" s="220" t="str">
        <x:f>IF(COUNTA($A89:$M89)=0,"",SUM($O89:$S89))</x:f>
      </x:c>
      <x:c r="U89" s="221" t="str">
        <x:f>IF(COUNTA($A89:$M89)=0,"",IF($N89="","待补base",IF(OR($N89&lt;30,$T89&lt;70),"不投",IF($N89&lt;35,"备选",IF($T89&gt;=85,"优先约聊","备选")))))</x:f>
      </x:c>
      <x:c r="V89" s="195"/>
      <x:c r="W89" s="222"/>
      <x:c r="X89" s="195"/>
      <x:c r="Y89" s="180"/>
    </x:row>
    <x:row r="90" ht="15" hidden="0" customHeight="1">
      <x:c r="A90" s="217"/>
      <x:c r="B90" s="195"/>
      <x:c r="C90" s="195"/>
      <x:c r="D90" s="218"/>
      <x:c r="E90" s="195"/>
      <x:c r="F90" s="195"/>
      <x:c r="G90" s="195"/>
      <x:c r="H90" s="195"/>
      <x:c r="I90" s="195"/>
      <x:c r="J90" s="195"/>
      <x:c r="K90" s="219"/>
      <x:c r="L90" s="195"/>
      <x:c r="M90" s="195"/>
      <x:c r="N90" s="219"/>
      <x:c r="O90" s="220" t="str">
        <x:f>IF(COUNTA($A90:$M90)=0,"",IF($N90="","待补",IF($N90&gt;=40,25,IF($N90&gt;=35,22,IF($N90&gt;=30,10,0)))))</x:f>
      </x:c>
      <x:c r="P90" s="220" t="str">
        <x:f>IF(COUNTA($A90:$M90)=0,"",IF(ISNUMBER($D90),IF($D90&lt;=45,20,IF($D90&lt;=60,14,IF($D90&lt;=75,8,3))),IF(OR(ISNUMBER(SEARCH("兴隆湖",$C90)),ISNUMBER(SEARCH("科学城",$C90))),20,IF(ISNUMBER(SEARCH("天府新区",$C90)),18,IF(OR(ISNUMBER(SEARCH("新川",$C90)),ISNUMBER(SEARCH("天府软件园",$C90)),ISNUMBER(SEARCH("高新南",$C90)),ISNUMBER(SEARCH("金融城",$C90))),12,5)))))</x:f>
      </x:c>
      <x:c r="Q90" s="220" t="str">
        <x:f>IF(COUNTA($A90:$M90)=0,"",SWITCH($H90,"核心",20,"强相关",16,"一般",10,"弱相关",5,"无",0,0))</x:f>
      </x:c>
      <x:c r="R90" s="220" t="str">
        <x:f>IF(COUNTA($A90:$M90)=0,"",SWITCH($I90,"核心",20,"强相关",16,"一般",10,"弱相关",5,"无",0,0))</x:f>
      </x:c>
      <x:c r="S90" s="220" t="str">
        <x:f>IF(COUNTA($A90:$M90)=0,"",SWITCH($J90,"高",15,"中高",12,"中",9,"低",4,"待核验",8,0))</x:f>
      </x:c>
      <x:c r="T90" s="220" t="str">
        <x:f>IF(COUNTA($A90:$M90)=0,"",SUM($O90:$S90))</x:f>
      </x:c>
      <x:c r="U90" s="221" t="str">
        <x:f>IF(COUNTA($A90:$M90)=0,"",IF($N90="","待补base",IF(OR($N90&lt;30,$T90&lt;70),"不投",IF($N90&lt;35,"备选",IF($T90&gt;=85,"优先约聊","备选")))))</x:f>
      </x:c>
      <x:c r="V90" s="195"/>
      <x:c r="W90" s="222"/>
      <x:c r="X90" s="195"/>
      <x:c r="Y90" s="180"/>
    </x:row>
    <x:row r="91" ht="15" hidden="0" customHeight="1">
      <x:c r="A91" s="217"/>
      <x:c r="B91" s="195"/>
      <x:c r="C91" s="195"/>
      <x:c r="D91" s="218"/>
      <x:c r="E91" s="195"/>
      <x:c r="F91" s="195"/>
      <x:c r="G91" s="195"/>
      <x:c r="H91" s="195"/>
      <x:c r="I91" s="195"/>
      <x:c r="J91" s="195"/>
      <x:c r="K91" s="219"/>
      <x:c r="L91" s="195"/>
      <x:c r="M91" s="195"/>
      <x:c r="N91" s="219"/>
      <x:c r="O91" s="220" t="str">
        <x:f>IF(COUNTA($A91:$M91)=0,"",IF($N91="","待补",IF($N91&gt;=40,25,IF($N91&gt;=35,22,IF($N91&gt;=30,10,0)))))</x:f>
      </x:c>
      <x:c r="P91" s="220" t="str">
        <x:f>IF(COUNTA($A91:$M91)=0,"",IF(ISNUMBER($D91),IF($D91&lt;=45,20,IF($D91&lt;=60,14,IF($D91&lt;=75,8,3))),IF(OR(ISNUMBER(SEARCH("兴隆湖",$C91)),ISNUMBER(SEARCH("科学城",$C91))),20,IF(ISNUMBER(SEARCH("天府新区",$C91)),18,IF(OR(ISNUMBER(SEARCH("新川",$C91)),ISNUMBER(SEARCH("天府软件园",$C91)),ISNUMBER(SEARCH("高新南",$C91)),ISNUMBER(SEARCH("金融城",$C91))),12,5)))))</x:f>
      </x:c>
      <x:c r="Q91" s="220" t="str">
        <x:f>IF(COUNTA($A91:$M91)=0,"",SWITCH($H91,"核心",20,"强相关",16,"一般",10,"弱相关",5,"无",0,0))</x:f>
      </x:c>
      <x:c r="R91" s="220" t="str">
        <x:f>IF(COUNTA($A91:$M91)=0,"",SWITCH($I91,"核心",20,"强相关",16,"一般",10,"弱相关",5,"无",0,0))</x:f>
      </x:c>
      <x:c r="S91" s="220" t="str">
        <x:f>IF(COUNTA($A91:$M91)=0,"",SWITCH($J91,"高",15,"中高",12,"中",9,"低",4,"待核验",8,0))</x:f>
      </x:c>
      <x:c r="T91" s="220" t="str">
        <x:f>IF(COUNTA($A91:$M91)=0,"",SUM($O91:$S91))</x:f>
      </x:c>
      <x:c r="U91" s="221" t="str">
        <x:f>IF(COUNTA($A91:$M91)=0,"",IF($N91="","待补base",IF(OR($N91&lt;30,$T91&lt;70),"不投",IF($N91&lt;35,"备选",IF($T91&gt;=85,"优先约聊","备选")))))</x:f>
      </x:c>
      <x:c r="V91" s="195"/>
      <x:c r="W91" s="222"/>
      <x:c r="X91" s="195"/>
      <x:c r="Y91" s="180"/>
    </x:row>
    <x:row r="92" ht="15" hidden="0" customHeight="1">
      <x:c r="A92" s="217"/>
      <x:c r="B92" s="195"/>
      <x:c r="C92" s="195"/>
      <x:c r="D92" s="218"/>
      <x:c r="E92" s="195"/>
      <x:c r="F92" s="195"/>
      <x:c r="G92" s="195"/>
      <x:c r="H92" s="195"/>
      <x:c r="I92" s="195"/>
      <x:c r="J92" s="195"/>
      <x:c r="K92" s="219"/>
      <x:c r="L92" s="195"/>
      <x:c r="M92" s="195"/>
      <x:c r="N92" s="219"/>
      <x:c r="O92" s="220" t="str">
        <x:f>IF(COUNTA($A92:$M92)=0,"",IF($N92="","待补",IF($N92&gt;=40,25,IF($N92&gt;=35,22,IF($N92&gt;=30,10,0)))))</x:f>
      </x:c>
      <x:c r="P92" s="220" t="str">
        <x:f>IF(COUNTA($A92:$M92)=0,"",IF(ISNUMBER($D92),IF($D92&lt;=45,20,IF($D92&lt;=60,14,IF($D92&lt;=75,8,3))),IF(OR(ISNUMBER(SEARCH("兴隆湖",$C92)),ISNUMBER(SEARCH("科学城",$C92))),20,IF(ISNUMBER(SEARCH("天府新区",$C92)),18,IF(OR(ISNUMBER(SEARCH("新川",$C92)),ISNUMBER(SEARCH("天府软件园",$C92)),ISNUMBER(SEARCH("高新南",$C92)),ISNUMBER(SEARCH("金融城",$C92))),12,5)))))</x:f>
      </x:c>
      <x:c r="Q92" s="220" t="str">
        <x:f>IF(COUNTA($A92:$M92)=0,"",SWITCH($H92,"核心",20,"强相关",16,"一般",10,"弱相关",5,"无",0,0))</x:f>
      </x:c>
      <x:c r="R92" s="220" t="str">
        <x:f>IF(COUNTA($A92:$M92)=0,"",SWITCH($I92,"核心",20,"强相关",16,"一般",10,"弱相关",5,"无",0,0))</x:f>
      </x:c>
      <x:c r="S92" s="220" t="str">
        <x:f>IF(COUNTA($A92:$M92)=0,"",SWITCH($J92,"高",15,"中高",12,"中",9,"低",4,"待核验",8,0))</x:f>
      </x:c>
      <x:c r="T92" s="220" t="str">
        <x:f>IF(COUNTA($A92:$M92)=0,"",SUM($O92:$S92))</x:f>
      </x:c>
      <x:c r="U92" s="221" t="str">
        <x:f>IF(COUNTA($A92:$M92)=0,"",IF($N92="","待补base",IF(OR($N92&lt;30,$T92&lt;70),"不投",IF($N92&lt;35,"备选",IF($T92&gt;=85,"优先约聊","备选")))))</x:f>
      </x:c>
      <x:c r="V92" s="195"/>
      <x:c r="W92" s="222"/>
      <x:c r="X92" s="195"/>
      <x:c r="Y92" s="180"/>
    </x:row>
    <x:row r="93" ht="15" hidden="0" customHeight="1">
      <x:c r="A93" s="217"/>
      <x:c r="B93" s="195"/>
      <x:c r="C93" s="195"/>
      <x:c r="D93" s="218"/>
      <x:c r="E93" s="195"/>
      <x:c r="F93" s="195"/>
      <x:c r="G93" s="195"/>
      <x:c r="H93" s="195"/>
      <x:c r="I93" s="195"/>
      <x:c r="J93" s="195"/>
      <x:c r="K93" s="219"/>
      <x:c r="L93" s="195"/>
      <x:c r="M93" s="195"/>
      <x:c r="N93" s="219"/>
      <x:c r="O93" s="220" t="str">
        <x:f>IF(COUNTA($A93:$M93)=0,"",IF($N93="","待补",IF($N93&gt;=40,25,IF($N93&gt;=35,22,IF($N93&gt;=30,10,0)))))</x:f>
      </x:c>
      <x:c r="P93" s="220" t="str">
        <x:f>IF(COUNTA($A93:$M93)=0,"",IF(ISNUMBER($D93),IF($D93&lt;=45,20,IF($D93&lt;=60,14,IF($D93&lt;=75,8,3))),IF(OR(ISNUMBER(SEARCH("兴隆湖",$C93)),ISNUMBER(SEARCH("科学城",$C93))),20,IF(ISNUMBER(SEARCH("天府新区",$C93)),18,IF(OR(ISNUMBER(SEARCH("新川",$C93)),ISNUMBER(SEARCH("天府软件园",$C93)),ISNUMBER(SEARCH("高新南",$C93)),ISNUMBER(SEARCH("金融城",$C93))),12,5)))))</x:f>
      </x:c>
      <x:c r="Q93" s="220" t="str">
        <x:f>IF(COUNTA($A93:$M93)=0,"",SWITCH($H93,"核心",20,"强相关",16,"一般",10,"弱相关",5,"无",0,0))</x:f>
      </x:c>
      <x:c r="R93" s="220" t="str">
        <x:f>IF(COUNTA($A93:$M93)=0,"",SWITCH($I93,"核心",20,"强相关",16,"一般",10,"弱相关",5,"无",0,0))</x:f>
      </x:c>
      <x:c r="S93" s="220" t="str">
        <x:f>IF(COUNTA($A93:$M93)=0,"",SWITCH($J93,"高",15,"中高",12,"中",9,"低",4,"待核验",8,0))</x:f>
      </x:c>
      <x:c r="T93" s="220" t="str">
        <x:f>IF(COUNTA($A93:$M93)=0,"",SUM($O93:$S93))</x:f>
      </x:c>
      <x:c r="U93" s="221" t="str">
        <x:f>IF(COUNTA($A93:$M93)=0,"",IF($N93="","待补base",IF(OR($N93&lt;30,$T93&lt;70),"不投",IF($N93&lt;35,"备选",IF($T93&gt;=85,"优先约聊","备选")))))</x:f>
      </x:c>
      <x:c r="V93" s="195"/>
      <x:c r="W93" s="222"/>
      <x:c r="X93" s="195"/>
      <x:c r="Y93" s="180"/>
    </x:row>
    <x:row r="94" ht="15" hidden="0" customHeight="1">
      <x:c r="A94" s="217"/>
      <x:c r="B94" s="195"/>
      <x:c r="C94" s="195"/>
      <x:c r="D94" s="218"/>
      <x:c r="E94" s="195"/>
      <x:c r="F94" s="195"/>
      <x:c r="G94" s="195"/>
      <x:c r="H94" s="195"/>
      <x:c r="I94" s="195"/>
      <x:c r="J94" s="195"/>
      <x:c r="K94" s="219"/>
      <x:c r="L94" s="195"/>
      <x:c r="M94" s="195"/>
      <x:c r="N94" s="219"/>
      <x:c r="O94" s="220" t="str">
        <x:f>IF(COUNTA($A94:$M94)=0,"",IF($N94="","待补",IF($N94&gt;=40,25,IF($N94&gt;=35,22,IF($N94&gt;=30,10,0)))))</x:f>
      </x:c>
      <x:c r="P94" s="220" t="str">
        <x:f>IF(COUNTA($A94:$M94)=0,"",IF(ISNUMBER($D94),IF($D94&lt;=45,20,IF($D94&lt;=60,14,IF($D94&lt;=75,8,3))),IF(OR(ISNUMBER(SEARCH("兴隆湖",$C94)),ISNUMBER(SEARCH("科学城",$C94))),20,IF(ISNUMBER(SEARCH("天府新区",$C94)),18,IF(OR(ISNUMBER(SEARCH("新川",$C94)),ISNUMBER(SEARCH("天府软件园",$C94)),ISNUMBER(SEARCH("高新南",$C94)),ISNUMBER(SEARCH("金融城",$C94))),12,5)))))</x:f>
      </x:c>
      <x:c r="Q94" s="220" t="str">
        <x:f>IF(COUNTA($A94:$M94)=0,"",SWITCH($H94,"核心",20,"强相关",16,"一般",10,"弱相关",5,"无",0,0))</x:f>
      </x:c>
      <x:c r="R94" s="220" t="str">
        <x:f>IF(COUNTA($A94:$M94)=0,"",SWITCH($I94,"核心",20,"强相关",16,"一般",10,"弱相关",5,"无",0,0))</x:f>
      </x:c>
      <x:c r="S94" s="220" t="str">
        <x:f>IF(COUNTA($A94:$M94)=0,"",SWITCH($J94,"高",15,"中高",12,"中",9,"低",4,"待核验",8,0))</x:f>
      </x:c>
      <x:c r="T94" s="220" t="str">
        <x:f>IF(COUNTA($A94:$M94)=0,"",SUM($O94:$S94))</x:f>
      </x:c>
      <x:c r="U94" s="221" t="str">
        <x:f>IF(COUNTA($A94:$M94)=0,"",IF($N94="","待补base",IF(OR($N94&lt;30,$T94&lt;70),"不投",IF($N94&lt;35,"备选",IF($T94&gt;=85,"优先约聊","备选")))))</x:f>
      </x:c>
      <x:c r="V94" s="195"/>
      <x:c r="W94" s="222"/>
      <x:c r="X94" s="195"/>
      <x:c r="Y94" s="180"/>
    </x:row>
    <x:row r="95" ht="15" hidden="0" customHeight="1">
      <x:c r="A95" s="217"/>
      <x:c r="B95" s="195"/>
      <x:c r="C95" s="195"/>
      <x:c r="D95" s="218"/>
      <x:c r="E95" s="195"/>
      <x:c r="F95" s="195"/>
      <x:c r="G95" s="195"/>
      <x:c r="H95" s="195"/>
      <x:c r="I95" s="195"/>
      <x:c r="J95" s="195"/>
      <x:c r="K95" s="219"/>
      <x:c r="L95" s="195"/>
      <x:c r="M95" s="195"/>
      <x:c r="N95" s="219"/>
      <x:c r="O95" s="220" t="str">
        <x:f>IF(COUNTA($A95:$M95)=0,"",IF($N95="","待补",IF($N95&gt;=40,25,IF($N95&gt;=35,22,IF($N95&gt;=30,10,0)))))</x:f>
      </x:c>
      <x:c r="P95" s="220" t="str">
        <x:f>IF(COUNTA($A95:$M95)=0,"",IF(ISNUMBER($D95),IF($D95&lt;=45,20,IF($D95&lt;=60,14,IF($D95&lt;=75,8,3))),IF(OR(ISNUMBER(SEARCH("兴隆湖",$C95)),ISNUMBER(SEARCH("科学城",$C95))),20,IF(ISNUMBER(SEARCH("天府新区",$C95)),18,IF(OR(ISNUMBER(SEARCH("新川",$C95)),ISNUMBER(SEARCH("天府软件园",$C95)),ISNUMBER(SEARCH("高新南",$C95)),ISNUMBER(SEARCH("金融城",$C95))),12,5)))))</x:f>
      </x:c>
      <x:c r="Q95" s="220" t="str">
        <x:f>IF(COUNTA($A95:$M95)=0,"",SWITCH($H95,"核心",20,"强相关",16,"一般",10,"弱相关",5,"无",0,0))</x:f>
      </x:c>
      <x:c r="R95" s="220" t="str">
        <x:f>IF(COUNTA($A95:$M95)=0,"",SWITCH($I95,"核心",20,"强相关",16,"一般",10,"弱相关",5,"无",0,0))</x:f>
      </x:c>
      <x:c r="S95" s="220" t="str">
        <x:f>IF(COUNTA($A95:$M95)=0,"",SWITCH($J95,"高",15,"中高",12,"中",9,"低",4,"待核验",8,0))</x:f>
      </x:c>
      <x:c r="T95" s="220" t="str">
        <x:f>IF(COUNTA($A95:$M95)=0,"",SUM($O95:$S95))</x:f>
      </x:c>
      <x:c r="U95" s="221" t="str">
        <x:f>IF(COUNTA($A95:$M95)=0,"",IF($N95="","待补base",IF(OR($N95&lt;30,$T95&lt;70),"不投",IF($N95&lt;35,"备选",IF($T95&gt;=85,"优先约聊","备选")))))</x:f>
      </x:c>
      <x:c r="V95" s="195"/>
      <x:c r="W95" s="222"/>
      <x:c r="X95" s="195"/>
      <x:c r="Y95" s="180"/>
    </x:row>
    <x:row r="96" ht="15" hidden="0" customHeight="1">
      <x:c r="A96" s="217"/>
      <x:c r="B96" s="195"/>
      <x:c r="C96" s="195"/>
      <x:c r="D96" s="218"/>
      <x:c r="E96" s="195"/>
      <x:c r="F96" s="195"/>
      <x:c r="G96" s="195"/>
      <x:c r="H96" s="195"/>
      <x:c r="I96" s="195"/>
      <x:c r="J96" s="195"/>
      <x:c r="K96" s="219"/>
      <x:c r="L96" s="195"/>
      <x:c r="M96" s="195"/>
      <x:c r="N96" s="219"/>
      <x:c r="O96" s="220" t="str">
        <x:f>IF(COUNTA($A96:$M96)=0,"",IF($N96="","待补",IF($N96&gt;=40,25,IF($N96&gt;=35,22,IF($N96&gt;=30,10,0)))))</x:f>
      </x:c>
      <x:c r="P96" s="220" t="str">
        <x:f>IF(COUNTA($A96:$M96)=0,"",IF(ISNUMBER($D96),IF($D96&lt;=45,20,IF($D96&lt;=60,14,IF($D96&lt;=75,8,3))),IF(OR(ISNUMBER(SEARCH("兴隆湖",$C96)),ISNUMBER(SEARCH("科学城",$C96))),20,IF(ISNUMBER(SEARCH("天府新区",$C96)),18,IF(OR(ISNUMBER(SEARCH("新川",$C96)),ISNUMBER(SEARCH("天府软件园",$C96)),ISNUMBER(SEARCH("高新南",$C96)),ISNUMBER(SEARCH("金融城",$C96))),12,5)))))</x:f>
      </x:c>
      <x:c r="Q96" s="220" t="str">
        <x:f>IF(COUNTA($A96:$M96)=0,"",SWITCH($H96,"核心",20,"强相关",16,"一般",10,"弱相关",5,"无",0,0))</x:f>
      </x:c>
      <x:c r="R96" s="220" t="str">
        <x:f>IF(COUNTA($A96:$M96)=0,"",SWITCH($I96,"核心",20,"强相关",16,"一般",10,"弱相关",5,"无",0,0))</x:f>
      </x:c>
      <x:c r="S96" s="220" t="str">
        <x:f>IF(COUNTA($A96:$M96)=0,"",SWITCH($J96,"高",15,"中高",12,"中",9,"低",4,"待核验",8,0))</x:f>
      </x:c>
      <x:c r="T96" s="220" t="str">
        <x:f>IF(COUNTA($A96:$M96)=0,"",SUM($O96:$S96))</x:f>
      </x:c>
      <x:c r="U96" s="221" t="str">
        <x:f>IF(COUNTA($A96:$M96)=0,"",IF($N96="","待补base",IF(OR($N96&lt;30,$T96&lt;70),"不投",IF($N96&lt;35,"备选",IF($T96&gt;=85,"优先约聊","备选")))))</x:f>
      </x:c>
      <x:c r="V96" s="195"/>
      <x:c r="W96" s="222"/>
      <x:c r="X96" s="195"/>
      <x:c r="Y96" s="180"/>
    </x:row>
    <x:row r="97" ht="15" hidden="0" customHeight="1">
      <x:c r="A97" s="217"/>
      <x:c r="B97" s="195"/>
      <x:c r="C97" s="195"/>
      <x:c r="D97" s="218"/>
      <x:c r="E97" s="195"/>
      <x:c r="F97" s="195"/>
      <x:c r="G97" s="195"/>
      <x:c r="H97" s="195"/>
      <x:c r="I97" s="195"/>
      <x:c r="J97" s="195"/>
      <x:c r="K97" s="219"/>
      <x:c r="L97" s="195"/>
      <x:c r="M97" s="195"/>
      <x:c r="N97" s="219"/>
      <x:c r="O97" s="220" t="str">
        <x:f>IF(COUNTA($A97:$M97)=0,"",IF($N97="","待补",IF($N97&gt;=40,25,IF($N97&gt;=35,22,IF($N97&gt;=30,10,0)))))</x:f>
      </x:c>
      <x:c r="P97" s="220" t="str">
        <x:f>IF(COUNTA($A97:$M97)=0,"",IF(ISNUMBER($D97),IF($D97&lt;=45,20,IF($D97&lt;=60,14,IF($D97&lt;=75,8,3))),IF(OR(ISNUMBER(SEARCH("兴隆湖",$C97)),ISNUMBER(SEARCH("科学城",$C97))),20,IF(ISNUMBER(SEARCH("天府新区",$C97)),18,IF(OR(ISNUMBER(SEARCH("新川",$C97)),ISNUMBER(SEARCH("天府软件园",$C97)),ISNUMBER(SEARCH("高新南",$C97)),ISNUMBER(SEARCH("金融城",$C97))),12,5)))))</x:f>
      </x:c>
      <x:c r="Q97" s="220" t="str">
        <x:f>IF(COUNTA($A97:$M97)=0,"",SWITCH($H97,"核心",20,"强相关",16,"一般",10,"弱相关",5,"无",0,0))</x:f>
      </x:c>
      <x:c r="R97" s="220" t="str">
        <x:f>IF(COUNTA($A97:$M97)=0,"",SWITCH($I97,"核心",20,"强相关",16,"一般",10,"弱相关",5,"无",0,0))</x:f>
      </x:c>
      <x:c r="S97" s="220" t="str">
        <x:f>IF(COUNTA($A97:$M97)=0,"",SWITCH($J97,"高",15,"中高",12,"中",9,"低",4,"待核验",8,0))</x:f>
      </x:c>
      <x:c r="T97" s="220" t="str">
        <x:f>IF(COUNTA($A97:$M97)=0,"",SUM($O97:$S97))</x:f>
      </x:c>
      <x:c r="U97" s="221" t="str">
        <x:f>IF(COUNTA($A97:$M97)=0,"",IF($N97="","待补base",IF(OR($N97&lt;30,$T97&lt;70),"不投",IF($N97&lt;35,"备选",IF($T97&gt;=85,"优先约聊","备选")))))</x:f>
      </x:c>
      <x:c r="V97" s="195"/>
      <x:c r="W97" s="222"/>
      <x:c r="X97" s="195"/>
      <x:c r="Y97" s="180"/>
    </x:row>
    <x:row r="98" ht="15" hidden="0" customHeight="1">
      <x:c r="A98" s="217"/>
      <x:c r="B98" s="195"/>
      <x:c r="C98" s="195"/>
      <x:c r="D98" s="218"/>
      <x:c r="E98" s="195"/>
      <x:c r="F98" s="195"/>
      <x:c r="G98" s="195"/>
      <x:c r="H98" s="195"/>
      <x:c r="I98" s="195"/>
      <x:c r="J98" s="195"/>
      <x:c r="K98" s="219"/>
      <x:c r="L98" s="195"/>
      <x:c r="M98" s="195"/>
      <x:c r="N98" s="219"/>
      <x:c r="O98" s="220" t="str">
        <x:f>IF(COUNTA($A98:$M98)=0,"",IF($N98="","待补",IF($N98&gt;=40,25,IF($N98&gt;=35,22,IF($N98&gt;=30,10,0)))))</x:f>
      </x:c>
      <x:c r="P98" s="220" t="str">
        <x:f>IF(COUNTA($A98:$M98)=0,"",IF(ISNUMBER($D98),IF($D98&lt;=45,20,IF($D98&lt;=60,14,IF($D98&lt;=75,8,3))),IF(OR(ISNUMBER(SEARCH("兴隆湖",$C98)),ISNUMBER(SEARCH("科学城",$C98))),20,IF(ISNUMBER(SEARCH("天府新区",$C98)),18,IF(OR(ISNUMBER(SEARCH("新川",$C98)),ISNUMBER(SEARCH("天府软件园",$C98)),ISNUMBER(SEARCH("高新南",$C98)),ISNUMBER(SEARCH("金融城",$C98))),12,5)))))</x:f>
      </x:c>
      <x:c r="Q98" s="220" t="str">
        <x:f>IF(COUNTA($A98:$M98)=0,"",SWITCH($H98,"核心",20,"强相关",16,"一般",10,"弱相关",5,"无",0,0))</x:f>
      </x:c>
      <x:c r="R98" s="220" t="str">
        <x:f>IF(COUNTA($A98:$M98)=0,"",SWITCH($I98,"核心",20,"强相关",16,"一般",10,"弱相关",5,"无",0,0))</x:f>
      </x:c>
      <x:c r="S98" s="220" t="str">
        <x:f>IF(COUNTA($A98:$M98)=0,"",SWITCH($J98,"高",15,"中高",12,"中",9,"低",4,"待核验",8,0))</x:f>
      </x:c>
      <x:c r="T98" s="220" t="str">
        <x:f>IF(COUNTA($A98:$M98)=0,"",SUM($O98:$S98))</x:f>
      </x:c>
      <x:c r="U98" s="221" t="str">
        <x:f>IF(COUNTA($A98:$M98)=0,"",IF($N98="","待补base",IF(OR($N98&lt;30,$T98&lt;70),"不投",IF($N98&lt;35,"备选",IF($T98&gt;=85,"优先约聊","备选")))))</x:f>
      </x:c>
      <x:c r="V98" s="195"/>
      <x:c r="W98" s="222"/>
      <x:c r="X98" s="195"/>
      <x:c r="Y98" s="180"/>
    </x:row>
    <x:row r="99" ht="15" hidden="0" customHeight="1">
      <x:c r="A99" s="217"/>
      <x:c r="B99" s="195"/>
      <x:c r="C99" s="195"/>
      <x:c r="D99" s="218"/>
      <x:c r="E99" s="195"/>
      <x:c r="F99" s="195"/>
      <x:c r="G99" s="195"/>
      <x:c r="H99" s="195"/>
      <x:c r="I99" s="195"/>
      <x:c r="J99" s="195"/>
      <x:c r="K99" s="219"/>
      <x:c r="L99" s="195"/>
      <x:c r="M99" s="195"/>
      <x:c r="N99" s="219"/>
      <x:c r="O99" s="220" t="str">
        <x:f>IF(COUNTA($A99:$M99)=0,"",IF($N99="","待补",IF($N99&gt;=40,25,IF($N99&gt;=35,22,IF($N99&gt;=30,10,0)))))</x:f>
      </x:c>
      <x:c r="P99" s="220" t="str">
        <x:f>IF(COUNTA($A99:$M99)=0,"",IF(ISNUMBER($D99),IF($D99&lt;=45,20,IF($D99&lt;=60,14,IF($D99&lt;=75,8,3))),IF(OR(ISNUMBER(SEARCH("兴隆湖",$C99)),ISNUMBER(SEARCH("科学城",$C99))),20,IF(ISNUMBER(SEARCH("天府新区",$C99)),18,IF(OR(ISNUMBER(SEARCH("新川",$C99)),ISNUMBER(SEARCH("天府软件园",$C99)),ISNUMBER(SEARCH("高新南",$C99)),ISNUMBER(SEARCH("金融城",$C99))),12,5)))))</x:f>
      </x:c>
      <x:c r="Q99" s="220" t="str">
        <x:f>IF(COUNTA($A99:$M99)=0,"",SWITCH($H99,"核心",20,"强相关",16,"一般",10,"弱相关",5,"无",0,0))</x:f>
      </x:c>
      <x:c r="R99" s="220" t="str">
        <x:f>IF(COUNTA($A99:$M99)=0,"",SWITCH($I99,"核心",20,"强相关",16,"一般",10,"弱相关",5,"无",0,0))</x:f>
      </x:c>
      <x:c r="S99" s="220" t="str">
        <x:f>IF(COUNTA($A99:$M99)=0,"",SWITCH($J99,"高",15,"中高",12,"中",9,"低",4,"待核验",8,0))</x:f>
      </x:c>
      <x:c r="T99" s="220" t="str">
        <x:f>IF(COUNTA($A99:$M99)=0,"",SUM($O99:$S99))</x:f>
      </x:c>
      <x:c r="U99" s="221" t="str">
        <x:f>IF(COUNTA($A99:$M99)=0,"",IF($N99="","待补base",IF(OR($N99&lt;30,$T99&lt;70),"不投",IF($N99&lt;35,"备选",IF($T99&gt;=85,"优先约聊","备选")))))</x:f>
      </x:c>
      <x:c r="V99" s="195"/>
      <x:c r="W99" s="222"/>
      <x:c r="X99" s="195"/>
      <x:c r="Y99" s="180"/>
    </x:row>
    <x:row r="100" ht="15" hidden="0" customHeight="1">
      <x:c r="A100" s="217"/>
      <x:c r="B100" s="195"/>
      <x:c r="C100" s="195"/>
      <x:c r="D100" s="218"/>
      <x:c r="E100" s="195"/>
      <x:c r="F100" s="195"/>
      <x:c r="G100" s="195"/>
      <x:c r="H100" s="195"/>
      <x:c r="I100" s="195"/>
      <x:c r="J100" s="195"/>
      <x:c r="K100" s="219"/>
      <x:c r="L100" s="195"/>
      <x:c r="M100" s="195"/>
      <x:c r="N100" s="219"/>
      <x:c r="O100" s="220" t="str">
        <x:f>IF(COUNTA($A100:$M100)=0,"",IF($N100="","待补",IF($N100&gt;=40,25,IF($N100&gt;=35,22,IF($N100&gt;=30,10,0)))))</x:f>
      </x:c>
      <x:c r="P100" s="220" t="str">
        <x:f>IF(COUNTA($A100:$M100)=0,"",IF(ISNUMBER($D100),IF($D100&lt;=45,20,IF($D100&lt;=60,14,IF($D100&lt;=75,8,3))),IF(OR(ISNUMBER(SEARCH("兴隆湖",$C100)),ISNUMBER(SEARCH("科学城",$C100))),20,IF(ISNUMBER(SEARCH("天府新区",$C100)),18,IF(OR(ISNUMBER(SEARCH("新川",$C100)),ISNUMBER(SEARCH("天府软件园",$C100)),ISNUMBER(SEARCH("高新南",$C100)),ISNUMBER(SEARCH("金融城",$C100))),12,5)))))</x:f>
      </x:c>
      <x:c r="Q100" s="220" t="str">
        <x:f>IF(COUNTA($A100:$M100)=0,"",SWITCH($H100,"核心",20,"强相关",16,"一般",10,"弱相关",5,"无",0,0))</x:f>
      </x:c>
      <x:c r="R100" s="220" t="str">
        <x:f>IF(COUNTA($A100:$M100)=0,"",SWITCH($I100,"核心",20,"强相关",16,"一般",10,"弱相关",5,"无",0,0))</x:f>
      </x:c>
      <x:c r="S100" s="220" t="str">
        <x:f>IF(COUNTA($A100:$M100)=0,"",SWITCH($J100,"高",15,"中高",12,"中",9,"低",4,"待核验",8,0))</x:f>
      </x:c>
      <x:c r="T100" s="220" t="str">
        <x:f>IF(COUNTA($A100:$M100)=0,"",SUM($O100:$S100))</x:f>
      </x:c>
      <x:c r="U100" s="221" t="str">
        <x:f>IF(COUNTA($A100:$M100)=0,"",IF($N100="","待补base",IF(OR($N100&lt;30,$T100&lt;70),"不投",IF($N100&lt;35,"备选",IF($T100&gt;=85,"优先约聊","备选")))))</x:f>
      </x:c>
      <x:c r="V100" s="195"/>
      <x:c r="W100" s="222"/>
      <x:c r="X100" s="195"/>
      <x:c r="Y100" s="180"/>
    </x:row>
    <x:row r="101" ht="15" hidden="0" customHeight="1">
      <x:c r="A101" s="217"/>
      <x:c r="B101" s="195"/>
      <x:c r="C101" s="195"/>
      <x:c r="D101" s="218"/>
      <x:c r="E101" s="195"/>
      <x:c r="F101" s="195"/>
      <x:c r="G101" s="195"/>
      <x:c r="H101" s="195"/>
      <x:c r="I101" s="195"/>
      <x:c r="J101" s="195"/>
      <x:c r="K101" s="219"/>
      <x:c r="L101" s="195"/>
      <x:c r="M101" s="195"/>
      <x:c r="N101" s="219"/>
      <x:c r="O101" s="220" t="str">
        <x:f>IF(COUNTA($A101:$M101)=0,"",IF($N101="","待补",IF($N101&gt;=40,25,IF($N101&gt;=35,22,IF($N101&gt;=30,10,0)))))</x:f>
      </x:c>
      <x:c r="P101" s="220" t="str">
        <x:f>IF(COUNTA($A101:$M101)=0,"",IF(ISNUMBER($D101),IF($D101&lt;=45,20,IF($D101&lt;=60,14,IF($D101&lt;=75,8,3))),IF(OR(ISNUMBER(SEARCH("兴隆湖",$C101)),ISNUMBER(SEARCH("科学城",$C101))),20,IF(ISNUMBER(SEARCH("天府新区",$C101)),18,IF(OR(ISNUMBER(SEARCH("新川",$C101)),ISNUMBER(SEARCH("天府软件园",$C101)),ISNUMBER(SEARCH("高新南",$C101)),ISNUMBER(SEARCH("金融城",$C101))),12,5)))))</x:f>
      </x:c>
      <x:c r="Q101" s="220" t="str">
        <x:f>IF(COUNTA($A101:$M101)=0,"",SWITCH($H101,"核心",20,"强相关",16,"一般",10,"弱相关",5,"无",0,0))</x:f>
      </x:c>
      <x:c r="R101" s="220" t="str">
        <x:f>IF(COUNTA($A101:$M101)=0,"",SWITCH($I101,"核心",20,"强相关",16,"一般",10,"弱相关",5,"无",0,0))</x:f>
      </x:c>
      <x:c r="S101" s="220" t="str">
        <x:f>IF(COUNTA($A101:$M101)=0,"",SWITCH($J101,"高",15,"中高",12,"中",9,"低",4,"待核验",8,0))</x:f>
      </x:c>
      <x:c r="T101" s="220" t="str">
        <x:f>IF(COUNTA($A101:$M101)=0,"",SUM($O101:$S101))</x:f>
      </x:c>
      <x:c r="U101" s="221" t="str">
        <x:f>IF(COUNTA($A101:$M101)=0,"",IF($N101="","待补base",IF(OR($N101&lt;30,$T101&lt;70),"不投",IF($N101&lt;35,"备选",IF($T101&gt;=85,"优先约聊","备选")))))</x:f>
      </x:c>
      <x:c r="V101" s="195"/>
      <x:c r="W101" s="222"/>
      <x:c r="X101" s="195"/>
      <x:c r="Y101" s="180"/>
    </x:row>
    <x:row r="102" ht="15" hidden="0" customHeight="1">
      <x:c r="A102" s="217"/>
      <x:c r="B102" s="195"/>
      <x:c r="C102" s="195"/>
      <x:c r="D102" s="218"/>
      <x:c r="E102" s="195"/>
      <x:c r="F102" s="195"/>
      <x:c r="G102" s="195"/>
      <x:c r="H102" s="195"/>
      <x:c r="I102" s="195"/>
      <x:c r="J102" s="195"/>
      <x:c r="K102" s="219"/>
      <x:c r="L102" s="195"/>
      <x:c r="M102" s="195"/>
      <x:c r="N102" s="219"/>
      <x:c r="O102" s="220" t="str">
        <x:f>IF(COUNTA($A102:$M102)=0,"",IF($N102="","待补",IF($N102&gt;=40,25,IF($N102&gt;=35,22,IF($N102&gt;=30,10,0)))))</x:f>
      </x:c>
      <x:c r="P102" s="220" t="str">
        <x:f>IF(COUNTA($A102:$M102)=0,"",IF(ISNUMBER($D102),IF($D102&lt;=45,20,IF($D102&lt;=60,14,IF($D102&lt;=75,8,3))),IF(OR(ISNUMBER(SEARCH("兴隆湖",$C102)),ISNUMBER(SEARCH("科学城",$C102))),20,IF(ISNUMBER(SEARCH("天府新区",$C102)),18,IF(OR(ISNUMBER(SEARCH("新川",$C102)),ISNUMBER(SEARCH("天府软件园",$C102)),ISNUMBER(SEARCH("高新南",$C102)),ISNUMBER(SEARCH("金融城",$C102))),12,5)))))</x:f>
      </x:c>
      <x:c r="Q102" s="220" t="str">
        <x:f>IF(COUNTA($A102:$M102)=0,"",SWITCH($H102,"核心",20,"强相关",16,"一般",10,"弱相关",5,"无",0,0))</x:f>
      </x:c>
      <x:c r="R102" s="220" t="str">
        <x:f>IF(COUNTA($A102:$M102)=0,"",SWITCH($I102,"核心",20,"强相关",16,"一般",10,"弱相关",5,"无",0,0))</x:f>
      </x:c>
      <x:c r="S102" s="220" t="str">
        <x:f>IF(COUNTA($A102:$M102)=0,"",SWITCH($J102,"高",15,"中高",12,"中",9,"低",4,"待核验",8,0))</x:f>
      </x:c>
      <x:c r="T102" s="220" t="str">
        <x:f>IF(COUNTA($A102:$M102)=0,"",SUM($O102:$S102))</x:f>
      </x:c>
      <x:c r="U102" s="221" t="str">
        <x:f>IF(COUNTA($A102:$M102)=0,"",IF($N102="","待补base",IF(OR($N102&lt;30,$T102&lt;70),"不投",IF($N102&lt;35,"备选",IF($T102&gt;=85,"优先约聊","备选")))))</x:f>
      </x:c>
      <x:c r="V102" s="195"/>
      <x:c r="W102" s="222"/>
      <x:c r="X102" s="195"/>
      <x:c r="Y102" s="180"/>
    </x:row>
    <x:row r="103" ht="15" hidden="0" customHeight="1">
      <x:c r="A103" s="217"/>
      <x:c r="B103" s="195"/>
      <x:c r="C103" s="195"/>
      <x:c r="D103" s="218"/>
      <x:c r="E103" s="195"/>
      <x:c r="F103" s="195"/>
      <x:c r="G103" s="195"/>
      <x:c r="H103" s="195"/>
      <x:c r="I103" s="195"/>
      <x:c r="J103" s="195"/>
      <x:c r="K103" s="219"/>
      <x:c r="L103" s="195"/>
      <x:c r="M103" s="195"/>
      <x:c r="N103" s="219"/>
      <x:c r="O103" s="220" t="str">
        <x:f>IF(COUNTA($A103:$M103)=0,"",IF($N103="","待补",IF($N103&gt;=40,25,IF($N103&gt;=35,22,IF($N103&gt;=30,10,0)))))</x:f>
      </x:c>
      <x:c r="P103" s="220" t="str">
        <x:f>IF(COUNTA($A103:$M103)=0,"",IF(ISNUMBER($D103),IF($D103&lt;=45,20,IF($D103&lt;=60,14,IF($D103&lt;=75,8,3))),IF(OR(ISNUMBER(SEARCH("兴隆湖",$C103)),ISNUMBER(SEARCH("科学城",$C103))),20,IF(ISNUMBER(SEARCH("天府新区",$C103)),18,IF(OR(ISNUMBER(SEARCH("新川",$C103)),ISNUMBER(SEARCH("天府软件园",$C103)),ISNUMBER(SEARCH("高新南",$C103)),ISNUMBER(SEARCH("金融城",$C103))),12,5)))))</x:f>
      </x:c>
      <x:c r="Q103" s="220" t="str">
        <x:f>IF(COUNTA($A103:$M103)=0,"",SWITCH($H103,"核心",20,"强相关",16,"一般",10,"弱相关",5,"无",0,0))</x:f>
      </x:c>
      <x:c r="R103" s="220" t="str">
        <x:f>IF(COUNTA($A103:$M103)=0,"",SWITCH($I103,"核心",20,"强相关",16,"一般",10,"弱相关",5,"无",0,0))</x:f>
      </x:c>
      <x:c r="S103" s="220" t="str">
        <x:f>IF(COUNTA($A103:$M103)=0,"",SWITCH($J103,"高",15,"中高",12,"中",9,"低",4,"待核验",8,0))</x:f>
      </x:c>
      <x:c r="T103" s="220" t="str">
        <x:f>IF(COUNTA($A103:$M103)=0,"",SUM($O103:$S103))</x:f>
      </x:c>
      <x:c r="U103" s="221" t="str">
        <x:f>IF(COUNTA($A103:$M103)=0,"",IF($N103="","待补base",IF(OR($N103&lt;30,$T103&lt;70),"不投",IF($N103&lt;35,"备选",IF($T103&gt;=85,"优先约聊","备选")))))</x:f>
      </x:c>
      <x:c r="V103" s="195"/>
      <x:c r="W103" s="222"/>
      <x:c r="X103" s="195"/>
      <x:c r="Y103" s="180"/>
    </x:row>
    <x:row r="104" ht="15" hidden="0" customHeight="1">
      <x:c r="A104" s="217"/>
      <x:c r="B104" s="195"/>
      <x:c r="C104" s="195"/>
      <x:c r="D104" s="218"/>
      <x:c r="E104" s="195"/>
      <x:c r="F104" s="195"/>
      <x:c r="G104" s="195"/>
      <x:c r="H104" s="195"/>
      <x:c r="I104" s="195"/>
      <x:c r="J104" s="195"/>
      <x:c r="K104" s="219"/>
      <x:c r="L104" s="195"/>
      <x:c r="M104" s="195"/>
      <x:c r="N104" s="219"/>
      <x:c r="O104" s="220" t="str">
        <x:f>IF(COUNTA($A104:$M104)=0,"",IF($N104="","待补",IF($N104&gt;=40,25,IF($N104&gt;=35,22,IF($N104&gt;=30,10,0)))))</x:f>
      </x:c>
      <x:c r="P104" s="220" t="str">
        <x:f>IF(COUNTA($A104:$M104)=0,"",IF(ISNUMBER($D104),IF($D104&lt;=45,20,IF($D104&lt;=60,14,IF($D104&lt;=75,8,3))),IF(OR(ISNUMBER(SEARCH("兴隆湖",$C104)),ISNUMBER(SEARCH("科学城",$C104))),20,IF(ISNUMBER(SEARCH("天府新区",$C104)),18,IF(OR(ISNUMBER(SEARCH("新川",$C104)),ISNUMBER(SEARCH("天府软件园",$C104)),ISNUMBER(SEARCH("高新南",$C104)),ISNUMBER(SEARCH("金融城",$C104))),12,5)))))</x:f>
      </x:c>
      <x:c r="Q104" s="220" t="str">
        <x:f>IF(COUNTA($A104:$M104)=0,"",SWITCH($H104,"核心",20,"强相关",16,"一般",10,"弱相关",5,"无",0,0))</x:f>
      </x:c>
      <x:c r="R104" s="220" t="str">
        <x:f>IF(COUNTA($A104:$M104)=0,"",SWITCH($I104,"核心",20,"强相关",16,"一般",10,"弱相关",5,"无",0,0))</x:f>
      </x:c>
      <x:c r="S104" s="220" t="str">
        <x:f>IF(COUNTA($A104:$M104)=0,"",SWITCH($J104,"高",15,"中高",12,"中",9,"低",4,"待核验",8,0))</x:f>
      </x:c>
      <x:c r="T104" s="220" t="str">
        <x:f>IF(COUNTA($A104:$M104)=0,"",SUM($O104:$S104))</x:f>
      </x:c>
      <x:c r="U104" s="221" t="str">
        <x:f>IF(COUNTA($A104:$M104)=0,"",IF($N104="","待补base",IF(OR($N104&lt;30,$T104&lt;70),"不投",IF($N104&lt;35,"备选",IF($T104&gt;=85,"优先约聊","备选")))))</x:f>
      </x:c>
      <x:c r="V104" s="195"/>
      <x:c r="W104" s="222"/>
      <x:c r="X104" s="195"/>
      <x:c r="Y104" s="180"/>
    </x:row>
    <x:row r="105" ht="15" hidden="0" customHeight="1">
      <x:c r="A105" s="217"/>
      <x:c r="B105" s="195"/>
      <x:c r="C105" s="195"/>
      <x:c r="D105" s="218"/>
      <x:c r="E105" s="195"/>
      <x:c r="F105" s="195"/>
      <x:c r="G105" s="195"/>
      <x:c r="H105" s="195"/>
      <x:c r="I105" s="195"/>
      <x:c r="J105" s="195"/>
      <x:c r="K105" s="219"/>
      <x:c r="L105" s="195"/>
      <x:c r="M105" s="195"/>
      <x:c r="N105" s="219"/>
      <x:c r="O105" s="220" t="str">
        <x:f>IF(COUNTA($A105:$M105)=0,"",IF($N105="","待补",IF($N105&gt;=40,25,IF($N105&gt;=35,22,IF($N105&gt;=30,10,0)))))</x:f>
      </x:c>
      <x:c r="P105" s="220" t="str">
        <x:f>IF(COUNTA($A105:$M105)=0,"",IF(ISNUMBER($D105),IF($D105&lt;=45,20,IF($D105&lt;=60,14,IF($D105&lt;=75,8,3))),IF(OR(ISNUMBER(SEARCH("兴隆湖",$C105)),ISNUMBER(SEARCH("科学城",$C105))),20,IF(ISNUMBER(SEARCH("天府新区",$C105)),18,IF(OR(ISNUMBER(SEARCH("新川",$C105)),ISNUMBER(SEARCH("天府软件园",$C105)),ISNUMBER(SEARCH("高新南",$C105)),ISNUMBER(SEARCH("金融城",$C105))),12,5)))))</x:f>
      </x:c>
      <x:c r="Q105" s="220" t="str">
        <x:f>IF(COUNTA($A105:$M105)=0,"",SWITCH($H105,"核心",20,"强相关",16,"一般",10,"弱相关",5,"无",0,0))</x:f>
      </x:c>
      <x:c r="R105" s="220" t="str">
        <x:f>IF(COUNTA($A105:$M105)=0,"",SWITCH($I105,"核心",20,"强相关",16,"一般",10,"弱相关",5,"无",0,0))</x:f>
      </x:c>
      <x:c r="S105" s="220" t="str">
        <x:f>IF(COUNTA($A105:$M105)=0,"",SWITCH($J105,"高",15,"中高",12,"中",9,"低",4,"待核验",8,0))</x:f>
      </x:c>
      <x:c r="T105" s="220" t="str">
        <x:f>IF(COUNTA($A105:$M105)=0,"",SUM($O105:$S105))</x:f>
      </x:c>
      <x:c r="U105" s="221" t="str">
        <x:f>IF(COUNTA($A105:$M105)=0,"",IF($N105="","待补base",IF(OR($N105&lt;30,$T105&lt;70),"不投",IF($N105&lt;35,"备选",IF($T105&gt;=85,"优先约聊","备选")))))</x:f>
      </x:c>
      <x:c r="V105" s="195"/>
      <x:c r="W105" s="222"/>
      <x:c r="X105" s="195"/>
      <x:c r="Y105" s="180"/>
    </x:row>
    <x:row r="106" ht="15" hidden="0" customHeight="1">
      <x:c r="A106" s="217"/>
      <x:c r="B106" s="195"/>
      <x:c r="C106" s="195"/>
      <x:c r="D106" s="218"/>
      <x:c r="E106" s="195"/>
      <x:c r="F106" s="195"/>
      <x:c r="G106" s="195"/>
      <x:c r="H106" s="195"/>
      <x:c r="I106" s="195"/>
      <x:c r="J106" s="195"/>
      <x:c r="K106" s="219"/>
      <x:c r="L106" s="195"/>
      <x:c r="M106" s="195"/>
      <x:c r="N106" s="219"/>
      <x:c r="O106" s="220" t="str">
        <x:f>IF(COUNTA($A106:$M106)=0,"",IF($N106="","待补",IF($N106&gt;=40,25,IF($N106&gt;=35,22,IF($N106&gt;=30,10,0)))))</x:f>
      </x:c>
      <x:c r="P106" s="220" t="str">
        <x:f>IF(COUNTA($A106:$M106)=0,"",IF(ISNUMBER($D106),IF($D106&lt;=45,20,IF($D106&lt;=60,14,IF($D106&lt;=75,8,3))),IF(OR(ISNUMBER(SEARCH("兴隆湖",$C106)),ISNUMBER(SEARCH("科学城",$C106))),20,IF(ISNUMBER(SEARCH("天府新区",$C106)),18,IF(OR(ISNUMBER(SEARCH("新川",$C106)),ISNUMBER(SEARCH("天府软件园",$C106)),ISNUMBER(SEARCH("高新南",$C106)),ISNUMBER(SEARCH("金融城",$C106))),12,5)))))</x:f>
      </x:c>
      <x:c r="Q106" s="220" t="str">
        <x:f>IF(COUNTA($A106:$M106)=0,"",SWITCH($H106,"核心",20,"强相关",16,"一般",10,"弱相关",5,"无",0,0))</x:f>
      </x:c>
      <x:c r="R106" s="220" t="str">
        <x:f>IF(COUNTA($A106:$M106)=0,"",SWITCH($I106,"核心",20,"强相关",16,"一般",10,"弱相关",5,"无",0,0))</x:f>
      </x:c>
      <x:c r="S106" s="220" t="str">
        <x:f>IF(COUNTA($A106:$M106)=0,"",SWITCH($J106,"高",15,"中高",12,"中",9,"低",4,"待核验",8,0))</x:f>
      </x:c>
      <x:c r="T106" s="220" t="str">
        <x:f>IF(COUNTA($A106:$M106)=0,"",SUM($O106:$S106))</x:f>
      </x:c>
      <x:c r="U106" s="221" t="str">
        <x:f>IF(COUNTA($A106:$M106)=0,"",IF($N106="","待补base",IF(OR($N106&lt;30,$T106&lt;70),"不投",IF($N106&lt;35,"备选",IF($T106&gt;=85,"优先约聊","备选")))))</x:f>
      </x:c>
      <x:c r="V106" s="195"/>
      <x:c r="W106" s="222"/>
      <x:c r="X106" s="195"/>
      <x:c r="Y106" s="180"/>
    </x:row>
    <x:row r="107" ht="15" hidden="0" customHeight="1">
      <x:c r="A107" s="217"/>
      <x:c r="B107" s="195"/>
      <x:c r="C107" s="195"/>
      <x:c r="D107" s="218"/>
      <x:c r="E107" s="195"/>
      <x:c r="F107" s="195"/>
      <x:c r="G107" s="195"/>
      <x:c r="H107" s="195"/>
      <x:c r="I107" s="195"/>
      <x:c r="J107" s="195"/>
      <x:c r="K107" s="219"/>
      <x:c r="L107" s="195"/>
      <x:c r="M107" s="195"/>
      <x:c r="N107" s="219"/>
      <x:c r="O107" s="220" t="str">
        <x:f>IF(COUNTA($A107:$M107)=0,"",IF($N107="","待补",IF($N107&gt;=40,25,IF($N107&gt;=35,22,IF($N107&gt;=30,10,0)))))</x:f>
      </x:c>
      <x:c r="P107" s="220" t="str">
        <x:f>IF(COUNTA($A107:$M107)=0,"",IF(ISNUMBER($D107),IF($D107&lt;=45,20,IF($D107&lt;=60,14,IF($D107&lt;=75,8,3))),IF(OR(ISNUMBER(SEARCH("兴隆湖",$C107)),ISNUMBER(SEARCH("科学城",$C107))),20,IF(ISNUMBER(SEARCH("天府新区",$C107)),18,IF(OR(ISNUMBER(SEARCH("新川",$C107)),ISNUMBER(SEARCH("天府软件园",$C107)),ISNUMBER(SEARCH("高新南",$C107)),ISNUMBER(SEARCH("金融城",$C107))),12,5)))))</x:f>
      </x:c>
      <x:c r="Q107" s="220" t="str">
        <x:f>IF(COUNTA($A107:$M107)=0,"",SWITCH($H107,"核心",20,"强相关",16,"一般",10,"弱相关",5,"无",0,0))</x:f>
      </x:c>
      <x:c r="R107" s="220" t="str">
        <x:f>IF(COUNTA($A107:$M107)=0,"",SWITCH($I107,"核心",20,"强相关",16,"一般",10,"弱相关",5,"无",0,0))</x:f>
      </x:c>
      <x:c r="S107" s="220" t="str">
        <x:f>IF(COUNTA($A107:$M107)=0,"",SWITCH($J107,"高",15,"中高",12,"中",9,"低",4,"待核验",8,0))</x:f>
      </x:c>
      <x:c r="T107" s="220" t="str">
        <x:f>IF(COUNTA($A107:$M107)=0,"",SUM($O107:$S107))</x:f>
      </x:c>
      <x:c r="U107" s="221" t="str">
        <x:f>IF(COUNTA($A107:$M107)=0,"",IF($N107="","待补base",IF(OR($N107&lt;30,$T107&lt;70),"不投",IF($N107&lt;35,"备选",IF($T107&gt;=85,"优先约聊","备选")))))</x:f>
      </x:c>
      <x:c r="V107" s="195"/>
      <x:c r="W107" s="222"/>
      <x:c r="X107" s="195"/>
      <x:c r="Y107" s="180"/>
    </x:row>
    <x:row r="108" ht="15" hidden="0" customHeight="1">
      <x:c r="A108" s="217"/>
      <x:c r="B108" s="195"/>
      <x:c r="C108" s="195"/>
      <x:c r="D108" s="218"/>
      <x:c r="E108" s="195"/>
      <x:c r="F108" s="195"/>
      <x:c r="G108" s="195"/>
      <x:c r="H108" s="195"/>
      <x:c r="I108" s="195"/>
      <x:c r="J108" s="195"/>
      <x:c r="K108" s="219"/>
      <x:c r="L108" s="195"/>
      <x:c r="M108" s="195"/>
      <x:c r="N108" s="219"/>
      <x:c r="O108" s="220" t="str">
        <x:f>IF(COUNTA($A108:$M108)=0,"",IF($N108="","待补",IF($N108&gt;=40,25,IF($N108&gt;=35,22,IF($N108&gt;=30,10,0)))))</x:f>
      </x:c>
      <x:c r="P108" s="220" t="str">
        <x:f>IF(COUNTA($A108:$M108)=0,"",IF(ISNUMBER($D108),IF($D108&lt;=45,20,IF($D108&lt;=60,14,IF($D108&lt;=75,8,3))),IF(OR(ISNUMBER(SEARCH("兴隆湖",$C108)),ISNUMBER(SEARCH("科学城",$C108))),20,IF(ISNUMBER(SEARCH("天府新区",$C108)),18,IF(OR(ISNUMBER(SEARCH("新川",$C108)),ISNUMBER(SEARCH("天府软件园",$C108)),ISNUMBER(SEARCH("高新南",$C108)),ISNUMBER(SEARCH("金融城",$C108))),12,5)))))</x:f>
      </x:c>
      <x:c r="Q108" s="220" t="str">
        <x:f>IF(COUNTA($A108:$M108)=0,"",SWITCH($H108,"核心",20,"强相关",16,"一般",10,"弱相关",5,"无",0,0))</x:f>
      </x:c>
      <x:c r="R108" s="220" t="str">
        <x:f>IF(COUNTA($A108:$M108)=0,"",SWITCH($I108,"核心",20,"强相关",16,"一般",10,"弱相关",5,"无",0,0))</x:f>
      </x:c>
      <x:c r="S108" s="220" t="str">
        <x:f>IF(COUNTA($A108:$M108)=0,"",SWITCH($J108,"高",15,"中高",12,"中",9,"低",4,"待核验",8,0))</x:f>
      </x:c>
      <x:c r="T108" s="220" t="str">
        <x:f>IF(COUNTA($A108:$M108)=0,"",SUM($O108:$S108))</x:f>
      </x:c>
      <x:c r="U108" s="221" t="str">
        <x:f>IF(COUNTA($A108:$M108)=0,"",IF($N108="","待补base",IF(OR($N108&lt;30,$T108&lt;70),"不投",IF($N108&lt;35,"备选",IF($T108&gt;=85,"优先约聊","备选")))))</x:f>
      </x:c>
      <x:c r="V108" s="195"/>
      <x:c r="W108" s="222"/>
      <x:c r="X108" s="195"/>
      <x:c r="Y108" s="180"/>
    </x:row>
    <x:row r="109" ht="15" hidden="0" customHeight="1">
      <x:c r="A109" s="217"/>
      <x:c r="B109" s="195"/>
      <x:c r="C109" s="195"/>
      <x:c r="D109" s="218"/>
      <x:c r="E109" s="195"/>
      <x:c r="F109" s="195"/>
      <x:c r="G109" s="195"/>
      <x:c r="H109" s="195"/>
      <x:c r="I109" s="195"/>
      <x:c r="J109" s="195"/>
      <x:c r="K109" s="219"/>
      <x:c r="L109" s="195"/>
      <x:c r="M109" s="195"/>
      <x:c r="N109" s="219"/>
      <x:c r="O109" s="220" t="str">
        <x:f>IF(COUNTA($A109:$M109)=0,"",IF($N109="","待补",IF($N109&gt;=40,25,IF($N109&gt;=35,22,IF($N109&gt;=30,10,0)))))</x:f>
      </x:c>
      <x:c r="P109" s="220" t="str">
        <x:f>IF(COUNTA($A109:$M109)=0,"",IF(ISNUMBER($D109),IF($D109&lt;=45,20,IF($D109&lt;=60,14,IF($D109&lt;=75,8,3))),IF(OR(ISNUMBER(SEARCH("兴隆湖",$C109)),ISNUMBER(SEARCH("科学城",$C109))),20,IF(ISNUMBER(SEARCH("天府新区",$C109)),18,IF(OR(ISNUMBER(SEARCH("新川",$C109)),ISNUMBER(SEARCH("天府软件园",$C109)),ISNUMBER(SEARCH("高新南",$C109)),ISNUMBER(SEARCH("金融城",$C109))),12,5)))))</x:f>
      </x:c>
      <x:c r="Q109" s="220" t="str">
        <x:f>IF(COUNTA($A109:$M109)=0,"",SWITCH($H109,"核心",20,"强相关",16,"一般",10,"弱相关",5,"无",0,0))</x:f>
      </x:c>
      <x:c r="R109" s="220" t="str">
        <x:f>IF(COUNTA($A109:$M109)=0,"",SWITCH($I109,"核心",20,"强相关",16,"一般",10,"弱相关",5,"无",0,0))</x:f>
      </x:c>
      <x:c r="S109" s="220" t="str">
        <x:f>IF(COUNTA($A109:$M109)=0,"",SWITCH($J109,"高",15,"中高",12,"中",9,"低",4,"待核验",8,0))</x:f>
      </x:c>
      <x:c r="T109" s="220" t="str">
        <x:f>IF(COUNTA($A109:$M109)=0,"",SUM($O109:$S109))</x:f>
      </x:c>
      <x:c r="U109" s="221" t="str">
        <x:f>IF(COUNTA($A109:$M109)=0,"",IF($N109="","待补base",IF(OR($N109&lt;30,$T109&lt;70),"不投",IF($N109&lt;35,"备选",IF($T109&gt;=85,"优先约聊","备选")))))</x:f>
      </x:c>
      <x:c r="V109" s="195"/>
      <x:c r="W109" s="222"/>
      <x:c r="X109" s="195"/>
      <x:c r="Y109" s="180"/>
    </x:row>
    <x:row r="110" ht="15" hidden="0" customHeight="1">
      <x:c r="A110" s="217"/>
      <x:c r="B110" s="195"/>
      <x:c r="C110" s="195"/>
      <x:c r="D110" s="218"/>
      <x:c r="E110" s="195"/>
      <x:c r="F110" s="195"/>
      <x:c r="G110" s="195"/>
      <x:c r="H110" s="195"/>
      <x:c r="I110" s="195"/>
      <x:c r="J110" s="195"/>
      <x:c r="K110" s="219"/>
      <x:c r="L110" s="195"/>
      <x:c r="M110" s="195"/>
      <x:c r="N110" s="219"/>
      <x:c r="O110" s="220" t="str">
        <x:f>IF(COUNTA($A110:$M110)=0,"",IF($N110="","待补",IF($N110&gt;=40,25,IF($N110&gt;=35,22,IF($N110&gt;=30,10,0)))))</x:f>
      </x:c>
      <x:c r="P110" s="220" t="str">
        <x:f>IF(COUNTA($A110:$M110)=0,"",IF(ISNUMBER($D110),IF($D110&lt;=45,20,IF($D110&lt;=60,14,IF($D110&lt;=75,8,3))),IF(OR(ISNUMBER(SEARCH("兴隆湖",$C110)),ISNUMBER(SEARCH("科学城",$C110))),20,IF(ISNUMBER(SEARCH("天府新区",$C110)),18,IF(OR(ISNUMBER(SEARCH("新川",$C110)),ISNUMBER(SEARCH("天府软件园",$C110)),ISNUMBER(SEARCH("高新南",$C110)),ISNUMBER(SEARCH("金融城",$C110))),12,5)))))</x:f>
      </x:c>
      <x:c r="Q110" s="220" t="str">
        <x:f>IF(COUNTA($A110:$M110)=0,"",SWITCH($H110,"核心",20,"强相关",16,"一般",10,"弱相关",5,"无",0,0))</x:f>
      </x:c>
      <x:c r="R110" s="220" t="str">
        <x:f>IF(COUNTA($A110:$M110)=0,"",SWITCH($I110,"核心",20,"强相关",16,"一般",10,"弱相关",5,"无",0,0))</x:f>
      </x:c>
      <x:c r="S110" s="220" t="str">
        <x:f>IF(COUNTA($A110:$M110)=0,"",SWITCH($J110,"高",15,"中高",12,"中",9,"低",4,"待核验",8,0))</x:f>
      </x:c>
      <x:c r="T110" s="220" t="str">
        <x:f>IF(COUNTA($A110:$M110)=0,"",SUM($O110:$S110))</x:f>
      </x:c>
      <x:c r="U110" s="221" t="str">
        <x:f>IF(COUNTA($A110:$M110)=0,"",IF($N110="","待补base",IF(OR($N110&lt;30,$T110&lt;70),"不投",IF($N110&lt;35,"备选",IF($T110&gt;=85,"优先约聊","备选")))))</x:f>
      </x:c>
      <x:c r="V110" s="195"/>
      <x:c r="W110" s="222"/>
      <x:c r="X110" s="195"/>
      <x:c r="Y110" s="180"/>
    </x:row>
    <x:row r="111" ht="15" hidden="0" customHeight="1">
      <x:c r="A111" s="217"/>
      <x:c r="B111" s="195"/>
      <x:c r="C111" s="195"/>
      <x:c r="D111" s="218"/>
      <x:c r="E111" s="195"/>
      <x:c r="F111" s="195"/>
      <x:c r="G111" s="195"/>
      <x:c r="H111" s="195"/>
      <x:c r="I111" s="195"/>
      <x:c r="J111" s="195"/>
      <x:c r="K111" s="219"/>
      <x:c r="L111" s="195"/>
      <x:c r="M111" s="195"/>
      <x:c r="N111" s="219"/>
      <x:c r="O111" s="220" t="str">
        <x:f>IF(COUNTA($A111:$M111)=0,"",IF($N111="","待补",IF($N111&gt;=40,25,IF($N111&gt;=35,22,IF($N111&gt;=30,10,0)))))</x:f>
      </x:c>
      <x:c r="P111" s="220" t="str">
        <x:f>IF(COUNTA($A111:$M111)=0,"",IF(ISNUMBER($D111),IF($D111&lt;=45,20,IF($D111&lt;=60,14,IF($D111&lt;=75,8,3))),IF(OR(ISNUMBER(SEARCH("兴隆湖",$C111)),ISNUMBER(SEARCH("科学城",$C111))),20,IF(ISNUMBER(SEARCH("天府新区",$C111)),18,IF(OR(ISNUMBER(SEARCH("新川",$C111)),ISNUMBER(SEARCH("天府软件园",$C111)),ISNUMBER(SEARCH("高新南",$C111)),ISNUMBER(SEARCH("金融城",$C111))),12,5)))))</x:f>
      </x:c>
      <x:c r="Q111" s="220" t="str">
        <x:f>IF(COUNTA($A111:$M111)=0,"",SWITCH($H111,"核心",20,"强相关",16,"一般",10,"弱相关",5,"无",0,0))</x:f>
      </x:c>
      <x:c r="R111" s="220" t="str">
        <x:f>IF(COUNTA($A111:$M111)=0,"",SWITCH($I111,"核心",20,"强相关",16,"一般",10,"弱相关",5,"无",0,0))</x:f>
      </x:c>
      <x:c r="S111" s="220" t="str">
        <x:f>IF(COUNTA($A111:$M111)=0,"",SWITCH($J111,"高",15,"中高",12,"中",9,"低",4,"待核验",8,0))</x:f>
      </x:c>
      <x:c r="T111" s="220" t="str">
        <x:f>IF(COUNTA($A111:$M111)=0,"",SUM($O111:$S111))</x:f>
      </x:c>
      <x:c r="U111" s="221" t="str">
        <x:f>IF(COUNTA($A111:$M111)=0,"",IF($N111="","待补base",IF(OR($N111&lt;30,$T111&lt;70),"不投",IF($N111&lt;35,"备选",IF($T111&gt;=85,"优先约聊","备选")))))</x:f>
      </x:c>
      <x:c r="V111" s="195"/>
      <x:c r="W111" s="222"/>
      <x:c r="X111" s="195"/>
      <x:c r="Y111" s="180"/>
    </x:row>
    <x:row r="112" ht="15" hidden="0" customHeight="1">
      <x:c r="A112" s="217"/>
      <x:c r="B112" s="195"/>
      <x:c r="C112" s="195"/>
      <x:c r="D112" s="218"/>
      <x:c r="E112" s="195"/>
      <x:c r="F112" s="195"/>
      <x:c r="G112" s="195"/>
      <x:c r="H112" s="195"/>
      <x:c r="I112" s="195"/>
      <x:c r="J112" s="195"/>
      <x:c r="K112" s="219"/>
      <x:c r="L112" s="195"/>
      <x:c r="M112" s="195"/>
      <x:c r="N112" s="219"/>
      <x:c r="O112" s="220" t="str">
        <x:f>IF(COUNTA($A112:$M112)=0,"",IF($N112="","待补",IF($N112&gt;=40,25,IF($N112&gt;=35,22,IF($N112&gt;=30,10,0)))))</x:f>
      </x:c>
      <x:c r="P112" s="220" t="str">
        <x:f>IF(COUNTA($A112:$M112)=0,"",IF(ISNUMBER($D112),IF($D112&lt;=45,20,IF($D112&lt;=60,14,IF($D112&lt;=75,8,3))),IF(OR(ISNUMBER(SEARCH("兴隆湖",$C112)),ISNUMBER(SEARCH("科学城",$C112))),20,IF(ISNUMBER(SEARCH("天府新区",$C112)),18,IF(OR(ISNUMBER(SEARCH("新川",$C112)),ISNUMBER(SEARCH("天府软件园",$C112)),ISNUMBER(SEARCH("高新南",$C112)),ISNUMBER(SEARCH("金融城",$C112))),12,5)))))</x:f>
      </x:c>
      <x:c r="Q112" s="220" t="str">
        <x:f>IF(COUNTA($A112:$M112)=0,"",SWITCH($H112,"核心",20,"强相关",16,"一般",10,"弱相关",5,"无",0,0))</x:f>
      </x:c>
      <x:c r="R112" s="220" t="str">
        <x:f>IF(COUNTA($A112:$M112)=0,"",SWITCH($I112,"核心",20,"强相关",16,"一般",10,"弱相关",5,"无",0,0))</x:f>
      </x:c>
      <x:c r="S112" s="220" t="str">
        <x:f>IF(COUNTA($A112:$M112)=0,"",SWITCH($J112,"高",15,"中高",12,"中",9,"低",4,"待核验",8,0))</x:f>
      </x:c>
      <x:c r="T112" s="220" t="str">
        <x:f>IF(COUNTA($A112:$M112)=0,"",SUM($O112:$S112))</x:f>
      </x:c>
      <x:c r="U112" s="221" t="str">
        <x:f>IF(COUNTA($A112:$M112)=0,"",IF($N112="","待补base",IF(OR($N112&lt;30,$T112&lt;70),"不投",IF($N112&lt;35,"备选",IF($T112&gt;=85,"优先约聊","备选")))))</x:f>
      </x:c>
      <x:c r="V112" s="195"/>
      <x:c r="W112" s="222"/>
      <x:c r="X112" s="195"/>
      <x:c r="Y112" s="180"/>
    </x:row>
    <x:row r="113" ht="15" hidden="0" customHeight="1">
      <x:c r="A113" s="217"/>
      <x:c r="B113" s="195"/>
      <x:c r="C113" s="195"/>
      <x:c r="D113" s="218"/>
      <x:c r="E113" s="195"/>
      <x:c r="F113" s="195"/>
      <x:c r="G113" s="195"/>
      <x:c r="H113" s="195"/>
      <x:c r="I113" s="195"/>
      <x:c r="J113" s="195"/>
      <x:c r="K113" s="219"/>
      <x:c r="L113" s="195"/>
      <x:c r="M113" s="195"/>
      <x:c r="N113" s="219"/>
      <x:c r="O113" s="220" t="str">
        <x:f>IF(COUNTA($A113:$M113)=0,"",IF($N113="","待补",IF($N113&gt;=40,25,IF($N113&gt;=35,22,IF($N113&gt;=30,10,0)))))</x:f>
      </x:c>
      <x:c r="P113" s="220" t="str">
        <x:f>IF(COUNTA($A113:$M113)=0,"",IF(ISNUMBER($D113),IF($D113&lt;=45,20,IF($D113&lt;=60,14,IF($D113&lt;=75,8,3))),IF(OR(ISNUMBER(SEARCH("兴隆湖",$C113)),ISNUMBER(SEARCH("科学城",$C113))),20,IF(ISNUMBER(SEARCH("天府新区",$C113)),18,IF(OR(ISNUMBER(SEARCH("新川",$C113)),ISNUMBER(SEARCH("天府软件园",$C113)),ISNUMBER(SEARCH("高新南",$C113)),ISNUMBER(SEARCH("金融城",$C113))),12,5)))))</x:f>
      </x:c>
      <x:c r="Q113" s="220" t="str">
        <x:f>IF(COUNTA($A113:$M113)=0,"",SWITCH($H113,"核心",20,"强相关",16,"一般",10,"弱相关",5,"无",0,0))</x:f>
      </x:c>
      <x:c r="R113" s="220" t="str">
        <x:f>IF(COUNTA($A113:$M113)=0,"",SWITCH($I113,"核心",20,"强相关",16,"一般",10,"弱相关",5,"无",0,0))</x:f>
      </x:c>
      <x:c r="S113" s="220" t="str">
        <x:f>IF(COUNTA($A113:$M113)=0,"",SWITCH($J113,"高",15,"中高",12,"中",9,"低",4,"待核验",8,0))</x:f>
      </x:c>
      <x:c r="T113" s="220" t="str">
        <x:f>IF(COUNTA($A113:$M113)=0,"",SUM($O113:$S113))</x:f>
      </x:c>
      <x:c r="U113" s="221" t="str">
        <x:f>IF(COUNTA($A113:$M113)=0,"",IF($N113="","待补base",IF(OR($N113&lt;30,$T113&lt;70),"不投",IF($N113&lt;35,"备选",IF($T113&gt;=85,"优先约聊","备选")))))</x:f>
      </x:c>
      <x:c r="V113" s="195"/>
      <x:c r="W113" s="222"/>
      <x:c r="X113" s="195"/>
      <x:c r="Y113" s="180"/>
    </x:row>
    <x:row r="114" ht="15" hidden="0" customHeight="1">
      <x:c r="A114" s="217"/>
      <x:c r="B114" s="195"/>
      <x:c r="C114" s="195"/>
      <x:c r="D114" s="218"/>
      <x:c r="E114" s="195"/>
      <x:c r="F114" s="195"/>
      <x:c r="G114" s="195"/>
      <x:c r="H114" s="195"/>
      <x:c r="I114" s="195"/>
      <x:c r="J114" s="195"/>
      <x:c r="K114" s="219"/>
      <x:c r="L114" s="195"/>
      <x:c r="M114" s="195"/>
      <x:c r="N114" s="219"/>
      <x:c r="O114" s="220" t="str">
        <x:f>IF(COUNTA($A114:$M114)=0,"",IF($N114="","待补",IF($N114&gt;=40,25,IF($N114&gt;=35,22,IF($N114&gt;=30,10,0)))))</x:f>
      </x:c>
      <x:c r="P114" s="220" t="str">
        <x:f>IF(COUNTA($A114:$M114)=0,"",IF(ISNUMBER($D114),IF($D114&lt;=45,20,IF($D114&lt;=60,14,IF($D114&lt;=75,8,3))),IF(OR(ISNUMBER(SEARCH("兴隆湖",$C114)),ISNUMBER(SEARCH("科学城",$C114))),20,IF(ISNUMBER(SEARCH("天府新区",$C114)),18,IF(OR(ISNUMBER(SEARCH("新川",$C114)),ISNUMBER(SEARCH("天府软件园",$C114)),ISNUMBER(SEARCH("高新南",$C114)),ISNUMBER(SEARCH("金融城",$C114))),12,5)))))</x:f>
      </x:c>
      <x:c r="Q114" s="220" t="str">
        <x:f>IF(COUNTA($A114:$M114)=0,"",SWITCH($H114,"核心",20,"强相关",16,"一般",10,"弱相关",5,"无",0,0))</x:f>
      </x:c>
      <x:c r="R114" s="220" t="str">
        <x:f>IF(COUNTA($A114:$M114)=0,"",SWITCH($I114,"核心",20,"强相关",16,"一般",10,"弱相关",5,"无",0,0))</x:f>
      </x:c>
      <x:c r="S114" s="220" t="str">
        <x:f>IF(COUNTA($A114:$M114)=0,"",SWITCH($J114,"高",15,"中高",12,"中",9,"低",4,"待核验",8,0))</x:f>
      </x:c>
      <x:c r="T114" s="220" t="str">
        <x:f>IF(COUNTA($A114:$M114)=0,"",SUM($O114:$S114))</x:f>
      </x:c>
      <x:c r="U114" s="221" t="str">
        <x:f>IF(COUNTA($A114:$M114)=0,"",IF($N114="","待补base",IF(OR($N114&lt;30,$T114&lt;70),"不投",IF($N114&lt;35,"备选",IF($T114&gt;=85,"优先约聊","备选")))))</x:f>
      </x:c>
      <x:c r="V114" s="195"/>
      <x:c r="W114" s="222"/>
      <x:c r="X114" s="195"/>
      <x:c r="Y114" s="180"/>
    </x:row>
    <x:row r="115" ht="15" hidden="0" customHeight="1">
      <x:c r="A115" s="217"/>
      <x:c r="B115" s="195"/>
      <x:c r="C115" s="195"/>
      <x:c r="D115" s="218"/>
      <x:c r="E115" s="195"/>
      <x:c r="F115" s="195"/>
      <x:c r="G115" s="195"/>
      <x:c r="H115" s="195"/>
      <x:c r="I115" s="195"/>
      <x:c r="J115" s="195"/>
      <x:c r="K115" s="219"/>
      <x:c r="L115" s="195"/>
      <x:c r="M115" s="195"/>
      <x:c r="N115" s="219"/>
      <x:c r="O115" s="220" t="str">
        <x:f>IF(COUNTA($A115:$M115)=0,"",IF($N115="","待补",IF($N115&gt;=40,25,IF($N115&gt;=35,22,IF($N115&gt;=30,10,0)))))</x:f>
      </x:c>
      <x:c r="P115" s="220" t="str">
        <x:f>IF(COUNTA($A115:$M115)=0,"",IF(ISNUMBER($D115),IF($D115&lt;=45,20,IF($D115&lt;=60,14,IF($D115&lt;=75,8,3))),IF(OR(ISNUMBER(SEARCH("兴隆湖",$C115)),ISNUMBER(SEARCH("科学城",$C115))),20,IF(ISNUMBER(SEARCH("天府新区",$C115)),18,IF(OR(ISNUMBER(SEARCH("新川",$C115)),ISNUMBER(SEARCH("天府软件园",$C115)),ISNUMBER(SEARCH("高新南",$C115)),ISNUMBER(SEARCH("金融城",$C115))),12,5)))))</x:f>
      </x:c>
      <x:c r="Q115" s="220" t="str">
        <x:f>IF(COUNTA($A115:$M115)=0,"",SWITCH($H115,"核心",20,"强相关",16,"一般",10,"弱相关",5,"无",0,0))</x:f>
      </x:c>
      <x:c r="R115" s="220" t="str">
        <x:f>IF(COUNTA($A115:$M115)=0,"",SWITCH($I115,"核心",20,"强相关",16,"一般",10,"弱相关",5,"无",0,0))</x:f>
      </x:c>
      <x:c r="S115" s="220" t="str">
        <x:f>IF(COUNTA($A115:$M115)=0,"",SWITCH($J115,"高",15,"中高",12,"中",9,"低",4,"待核验",8,0))</x:f>
      </x:c>
      <x:c r="T115" s="220" t="str">
        <x:f>IF(COUNTA($A115:$M115)=0,"",SUM($O115:$S115))</x:f>
      </x:c>
      <x:c r="U115" s="221" t="str">
        <x:f>IF(COUNTA($A115:$M115)=0,"",IF($N115="","待补base",IF(OR($N115&lt;30,$T115&lt;70),"不投",IF($N115&lt;35,"备选",IF($T115&gt;=85,"优先约聊","备选")))))</x:f>
      </x:c>
      <x:c r="V115" s="195"/>
      <x:c r="W115" s="222"/>
      <x:c r="X115" s="195"/>
      <x:c r="Y115" s="180"/>
    </x:row>
    <x:row r="116" ht="15" hidden="0" customHeight="1">
      <x:c r="A116" s="217"/>
      <x:c r="B116" s="195"/>
      <x:c r="C116" s="195"/>
      <x:c r="D116" s="218"/>
      <x:c r="E116" s="195"/>
      <x:c r="F116" s="195"/>
      <x:c r="G116" s="195"/>
      <x:c r="H116" s="195"/>
      <x:c r="I116" s="195"/>
      <x:c r="J116" s="195"/>
      <x:c r="K116" s="219"/>
      <x:c r="L116" s="195"/>
      <x:c r="M116" s="195"/>
      <x:c r="N116" s="219"/>
      <x:c r="O116" s="220" t="str">
        <x:f>IF(COUNTA($A116:$M116)=0,"",IF($N116="","待补",IF($N116&gt;=40,25,IF($N116&gt;=35,22,IF($N116&gt;=30,10,0)))))</x:f>
      </x:c>
      <x:c r="P116" s="220" t="str">
        <x:f>IF(COUNTA($A116:$M116)=0,"",IF(ISNUMBER($D116),IF($D116&lt;=45,20,IF($D116&lt;=60,14,IF($D116&lt;=75,8,3))),IF(OR(ISNUMBER(SEARCH("兴隆湖",$C116)),ISNUMBER(SEARCH("科学城",$C116))),20,IF(ISNUMBER(SEARCH("天府新区",$C116)),18,IF(OR(ISNUMBER(SEARCH("新川",$C116)),ISNUMBER(SEARCH("天府软件园",$C116)),ISNUMBER(SEARCH("高新南",$C116)),ISNUMBER(SEARCH("金融城",$C116))),12,5)))))</x:f>
      </x:c>
      <x:c r="Q116" s="220" t="str">
        <x:f>IF(COUNTA($A116:$M116)=0,"",SWITCH($H116,"核心",20,"强相关",16,"一般",10,"弱相关",5,"无",0,0))</x:f>
      </x:c>
      <x:c r="R116" s="220" t="str">
        <x:f>IF(COUNTA($A116:$M116)=0,"",SWITCH($I116,"核心",20,"强相关",16,"一般",10,"弱相关",5,"无",0,0))</x:f>
      </x:c>
      <x:c r="S116" s="220" t="str">
        <x:f>IF(COUNTA($A116:$M116)=0,"",SWITCH($J116,"高",15,"中高",12,"中",9,"低",4,"待核验",8,0))</x:f>
      </x:c>
      <x:c r="T116" s="220" t="str">
        <x:f>IF(COUNTA($A116:$M116)=0,"",SUM($O116:$S116))</x:f>
      </x:c>
      <x:c r="U116" s="221" t="str">
        <x:f>IF(COUNTA($A116:$M116)=0,"",IF($N116="","待补base",IF(OR($N116&lt;30,$T116&lt;70),"不投",IF($N116&lt;35,"备选",IF($T116&gt;=85,"优先约聊","备选")))))</x:f>
      </x:c>
      <x:c r="V116" s="195"/>
      <x:c r="W116" s="222"/>
      <x:c r="X116" s="195"/>
      <x:c r="Y116" s="180"/>
    </x:row>
    <x:row r="117" ht="15" hidden="0" customHeight="1">
      <x:c r="A117" s="217"/>
      <x:c r="B117" s="195"/>
      <x:c r="C117" s="195"/>
      <x:c r="D117" s="218"/>
      <x:c r="E117" s="195"/>
      <x:c r="F117" s="195"/>
      <x:c r="G117" s="195"/>
      <x:c r="H117" s="195"/>
      <x:c r="I117" s="195"/>
      <x:c r="J117" s="195"/>
      <x:c r="K117" s="219"/>
      <x:c r="L117" s="195"/>
      <x:c r="M117" s="195"/>
      <x:c r="N117" s="219"/>
      <x:c r="O117" s="220" t="str">
        <x:f>IF(COUNTA($A117:$M117)=0,"",IF($N117="","待补",IF($N117&gt;=40,25,IF($N117&gt;=35,22,IF($N117&gt;=30,10,0)))))</x:f>
      </x:c>
      <x:c r="P117" s="220" t="str">
        <x:f>IF(COUNTA($A117:$M117)=0,"",IF(ISNUMBER($D117),IF($D117&lt;=45,20,IF($D117&lt;=60,14,IF($D117&lt;=75,8,3))),IF(OR(ISNUMBER(SEARCH("兴隆湖",$C117)),ISNUMBER(SEARCH("科学城",$C117))),20,IF(ISNUMBER(SEARCH("天府新区",$C117)),18,IF(OR(ISNUMBER(SEARCH("新川",$C117)),ISNUMBER(SEARCH("天府软件园",$C117)),ISNUMBER(SEARCH("高新南",$C117)),ISNUMBER(SEARCH("金融城",$C117))),12,5)))))</x:f>
      </x:c>
      <x:c r="Q117" s="220" t="str">
        <x:f>IF(COUNTA($A117:$M117)=0,"",SWITCH($H117,"核心",20,"强相关",16,"一般",10,"弱相关",5,"无",0,0))</x:f>
      </x:c>
      <x:c r="R117" s="220" t="str">
        <x:f>IF(COUNTA($A117:$M117)=0,"",SWITCH($I117,"核心",20,"强相关",16,"一般",10,"弱相关",5,"无",0,0))</x:f>
      </x:c>
      <x:c r="S117" s="220" t="str">
        <x:f>IF(COUNTA($A117:$M117)=0,"",SWITCH($J117,"高",15,"中高",12,"中",9,"低",4,"待核验",8,0))</x:f>
      </x:c>
      <x:c r="T117" s="220" t="str">
        <x:f>IF(COUNTA($A117:$M117)=0,"",SUM($O117:$S117))</x:f>
      </x:c>
      <x:c r="U117" s="221" t="str">
        <x:f>IF(COUNTA($A117:$M117)=0,"",IF($N117="","待补base",IF(OR($N117&lt;30,$T117&lt;70),"不投",IF($N117&lt;35,"备选",IF($T117&gt;=85,"优先约聊","备选")))))</x:f>
      </x:c>
      <x:c r="V117" s="195"/>
      <x:c r="W117" s="222"/>
      <x:c r="X117" s="195"/>
      <x:c r="Y117" s="180"/>
    </x:row>
    <x:row r="118" ht="15" hidden="0" customHeight="1">
      <x:c r="A118" s="217"/>
      <x:c r="B118" s="195"/>
      <x:c r="C118" s="195"/>
      <x:c r="D118" s="218"/>
      <x:c r="E118" s="195"/>
      <x:c r="F118" s="195"/>
      <x:c r="G118" s="195"/>
      <x:c r="H118" s="195"/>
      <x:c r="I118" s="195"/>
      <x:c r="J118" s="195"/>
      <x:c r="K118" s="219"/>
      <x:c r="L118" s="195"/>
      <x:c r="M118" s="195"/>
      <x:c r="N118" s="219"/>
      <x:c r="O118" s="220" t="str">
        <x:f>IF(COUNTA($A118:$M118)=0,"",IF($N118="","待补",IF($N118&gt;=40,25,IF($N118&gt;=35,22,IF($N118&gt;=30,10,0)))))</x:f>
      </x:c>
      <x:c r="P118" s="220" t="str">
        <x:f>IF(COUNTA($A118:$M118)=0,"",IF(ISNUMBER($D118),IF($D118&lt;=45,20,IF($D118&lt;=60,14,IF($D118&lt;=75,8,3))),IF(OR(ISNUMBER(SEARCH("兴隆湖",$C118)),ISNUMBER(SEARCH("科学城",$C118))),20,IF(ISNUMBER(SEARCH("天府新区",$C118)),18,IF(OR(ISNUMBER(SEARCH("新川",$C118)),ISNUMBER(SEARCH("天府软件园",$C118)),ISNUMBER(SEARCH("高新南",$C118)),ISNUMBER(SEARCH("金融城",$C118))),12,5)))))</x:f>
      </x:c>
      <x:c r="Q118" s="220" t="str">
        <x:f>IF(COUNTA($A118:$M118)=0,"",SWITCH($H118,"核心",20,"强相关",16,"一般",10,"弱相关",5,"无",0,0))</x:f>
      </x:c>
      <x:c r="R118" s="220" t="str">
        <x:f>IF(COUNTA($A118:$M118)=0,"",SWITCH($I118,"核心",20,"强相关",16,"一般",10,"弱相关",5,"无",0,0))</x:f>
      </x:c>
      <x:c r="S118" s="220" t="str">
        <x:f>IF(COUNTA($A118:$M118)=0,"",SWITCH($J118,"高",15,"中高",12,"中",9,"低",4,"待核验",8,0))</x:f>
      </x:c>
      <x:c r="T118" s="220" t="str">
        <x:f>IF(COUNTA($A118:$M118)=0,"",SUM($O118:$S118))</x:f>
      </x:c>
      <x:c r="U118" s="221" t="str">
        <x:f>IF(COUNTA($A118:$M118)=0,"",IF($N118="","待补base",IF(OR($N118&lt;30,$T118&lt;70),"不投",IF($N118&lt;35,"备选",IF($T118&gt;=85,"优先约聊","备选")))))</x:f>
      </x:c>
      <x:c r="V118" s="195"/>
      <x:c r="W118" s="222"/>
      <x:c r="X118" s="195"/>
      <x:c r="Y118" s="180"/>
    </x:row>
    <x:row r="119" ht="15" hidden="0" customHeight="1">
      <x:c r="A119" s="217"/>
      <x:c r="B119" s="195"/>
      <x:c r="C119" s="195"/>
      <x:c r="D119" s="218"/>
      <x:c r="E119" s="195"/>
      <x:c r="F119" s="195"/>
      <x:c r="G119" s="195"/>
      <x:c r="H119" s="195"/>
      <x:c r="I119" s="195"/>
      <x:c r="J119" s="195"/>
      <x:c r="K119" s="219"/>
      <x:c r="L119" s="195"/>
      <x:c r="M119" s="195"/>
      <x:c r="N119" s="219"/>
      <x:c r="O119" s="220" t="str">
        <x:f>IF(COUNTA($A119:$M119)=0,"",IF($N119="","待补",IF($N119&gt;=40,25,IF($N119&gt;=35,22,IF($N119&gt;=30,10,0)))))</x:f>
      </x:c>
      <x:c r="P119" s="220" t="str">
        <x:f>IF(COUNTA($A119:$M119)=0,"",IF(ISNUMBER($D119),IF($D119&lt;=45,20,IF($D119&lt;=60,14,IF($D119&lt;=75,8,3))),IF(OR(ISNUMBER(SEARCH("兴隆湖",$C119)),ISNUMBER(SEARCH("科学城",$C119))),20,IF(ISNUMBER(SEARCH("天府新区",$C119)),18,IF(OR(ISNUMBER(SEARCH("新川",$C119)),ISNUMBER(SEARCH("天府软件园",$C119)),ISNUMBER(SEARCH("高新南",$C119)),ISNUMBER(SEARCH("金融城",$C119))),12,5)))))</x:f>
      </x:c>
      <x:c r="Q119" s="220" t="str">
        <x:f>IF(COUNTA($A119:$M119)=0,"",SWITCH($H119,"核心",20,"强相关",16,"一般",10,"弱相关",5,"无",0,0))</x:f>
      </x:c>
      <x:c r="R119" s="220" t="str">
        <x:f>IF(COUNTA($A119:$M119)=0,"",SWITCH($I119,"核心",20,"强相关",16,"一般",10,"弱相关",5,"无",0,0))</x:f>
      </x:c>
      <x:c r="S119" s="220" t="str">
        <x:f>IF(COUNTA($A119:$M119)=0,"",SWITCH($J119,"高",15,"中高",12,"中",9,"低",4,"待核验",8,0))</x:f>
      </x:c>
      <x:c r="T119" s="220" t="str">
        <x:f>IF(COUNTA($A119:$M119)=0,"",SUM($O119:$S119))</x:f>
      </x:c>
      <x:c r="U119" s="221" t="str">
        <x:f>IF(COUNTA($A119:$M119)=0,"",IF($N119="","待补base",IF(OR($N119&lt;30,$T119&lt;70),"不投",IF($N119&lt;35,"备选",IF($T119&gt;=85,"优先约聊","备选")))))</x:f>
      </x:c>
      <x:c r="V119" s="195"/>
      <x:c r="W119" s="222"/>
      <x:c r="X119" s="195"/>
      <x:c r="Y119" s="180"/>
    </x:row>
    <x:row r="120" ht="15" hidden="0" customHeight="1">
      <x:c r="A120" s="217"/>
      <x:c r="B120" s="195"/>
      <x:c r="C120" s="195"/>
      <x:c r="D120" s="218"/>
      <x:c r="E120" s="195"/>
      <x:c r="F120" s="195"/>
      <x:c r="G120" s="195"/>
      <x:c r="H120" s="195"/>
      <x:c r="I120" s="195"/>
      <x:c r="J120" s="195"/>
      <x:c r="K120" s="219"/>
      <x:c r="L120" s="195"/>
      <x:c r="M120" s="195"/>
      <x:c r="N120" s="219"/>
      <x:c r="O120" s="220" t="str">
        <x:f>IF(COUNTA($A120:$M120)=0,"",IF($N120="","待补",IF($N120&gt;=40,25,IF($N120&gt;=35,22,IF($N120&gt;=30,10,0)))))</x:f>
      </x:c>
      <x:c r="P120" s="220" t="str">
        <x:f>IF(COUNTA($A120:$M120)=0,"",IF(ISNUMBER($D120),IF($D120&lt;=45,20,IF($D120&lt;=60,14,IF($D120&lt;=75,8,3))),IF(OR(ISNUMBER(SEARCH("兴隆湖",$C120)),ISNUMBER(SEARCH("科学城",$C120))),20,IF(ISNUMBER(SEARCH("天府新区",$C120)),18,IF(OR(ISNUMBER(SEARCH("新川",$C120)),ISNUMBER(SEARCH("天府软件园",$C120)),ISNUMBER(SEARCH("高新南",$C120)),ISNUMBER(SEARCH("金融城",$C120))),12,5)))))</x:f>
      </x:c>
      <x:c r="Q120" s="220" t="str">
        <x:f>IF(COUNTA($A120:$M120)=0,"",SWITCH($H120,"核心",20,"强相关",16,"一般",10,"弱相关",5,"无",0,0))</x:f>
      </x:c>
      <x:c r="R120" s="220" t="str">
        <x:f>IF(COUNTA($A120:$M120)=0,"",SWITCH($I120,"核心",20,"强相关",16,"一般",10,"弱相关",5,"无",0,0))</x:f>
      </x:c>
      <x:c r="S120" s="220" t="str">
        <x:f>IF(COUNTA($A120:$M120)=0,"",SWITCH($J120,"高",15,"中高",12,"中",9,"低",4,"待核验",8,0))</x:f>
      </x:c>
      <x:c r="T120" s="220" t="str">
        <x:f>IF(COUNTA($A120:$M120)=0,"",SUM($O120:$S120))</x:f>
      </x:c>
      <x:c r="U120" s="221" t="str">
        <x:f>IF(COUNTA($A120:$M120)=0,"",IF($N120="","待补base",IF(OR($N120&lt;30,$T120&lt;70),"不投",IF($N120&lt;35,"备选",IF($T120&gt;=85,"优先约聊","备选")))))</x:f>
      </x:c>
      <x:c r="V120" s="195"/>
      <x:c r="W120" s="222"/>
      <x:c r="X120" s="195"/>
      <x:c r="Y120" s="180"/>
    </x:row>
    <x:row r="121" ht="15" hidden="0" customHeight="1">
      <x:c r="A121" s="217"/>
      <x:c r="B121" s="195"/>
      <x:c r="C121" s="195"/>
      <x:c r="D121" s="218"/>
      <x:c r="E121" s="195"/>
      <x:c r="F121" s="195"/>
      <x:c r="G121" s="195"/>
      <x:c r="H121" s="195"/>
      <x:c r="I121" s="195"/>
      <x:c r="J121" s="195"/>
      <x:c r="K121" s="219"/>
      <x:c r="L121" s="195"/>
      <x:c r="M121" s="195"/>
      <x:c r="N121" s="219"/>
      <x:c r="O121" s="220" t="str">
        <x:f>IF(COUNTA($A121:$M121)=0,"",IF($N121="","待补",IF($N121&gt;=40,25,IF($N121&gt;=35,22,IF($N121&gt;=30,10,0)))))</x:f>
      </x:c>
      <x:c r="P121" s="220" t="str">
        <x:f>IF(COUNTA($A121:$M121)=0,"",IF(ISNUMBER($D121),IF($D121&lt;=45,20,IF($D121&lt;=60,14,IF($D121&lt;=75,8,3))),IF(OR(ISNUMBER(SEARCH("兴隆湖",$C121)),ISNUMBER(SEARCH("科学城",$C121))),20,IF(ISNUMBER(SEARCH("天府新区",$C121)),18,IF(OR(ISNUMBER(SEARCH("新川",$C121)),ISNUMBER(SEARCH("天府软件园",$C121)),ISNUMBER(SEARCH("高新南",$C121)),ISNUMBER(SEARCH("金融城",$C121))),12,5)))))</x:f>
      </x:c>
      <x:c r="Q121" s="220" t="str">
        <x:f>IF(COUNTA($A121:$M121)=0,"",SWITCH($H121,"核心",20,"强相关",16,"一般",10,"弱相关",5,"无",0,0))</x:f>
      </x:c>
      <x:c r="R121" s="220" t="str">
        <x:f>IF(COUNTA($A121:$M121)=0,"",SWITCH($I121,"核心",20,"强相关",16,"一般",10,"弱相关",5,"无",0,0))</x:f>
      </x:c>
      <x:c r="S121" s="220" t="str">
        <x:f>IF(COUNTA($A121:$M121)=0,"",SWITCH($J121,"高",15,"中高",12,"中",9,"低",4,"待核验",8,0))</x:f>
      </x:c>
      <x:c r="T121" s="220" t="str">
        <x:f>IF(COUNTA($A121:$M121)=0,"",SUM($O121:$S121))</x:f>
      </x:c>
      <x:c r="U121" s="221" t="str">
        <x:f>IF(COUNTA($A121:$M121)=0,"",IF($N121="","待补base",IF(OR($N121&lt;30,$T121&lt;70),"不投",IF($N121&lt;35,"备选",IF($T121&gt;=85,"优先约聊","备选")))))</x:f>
      </x:c>
      <x:c r="V121" s="195"/>
      <x:c r="W121" s="222"/>
      <x:c r="X121" s="195"/>
      <x:c r="Y121" s="180"/>
    </x:row>
    <x:row r="122" ht="15" hidden="0" customHeight="1">
      <x:c r="A122" s="217"/>
      <x:c r="B122" s="195"/>
      <x:c r="C122" s="195"/>
      <x:c r="D122" s="218"/>
      <x:c r="E122" s="195"/>
      <x:c r="F122" s="195"/>
      <x:c r="G122" s="195"/>
      <x:c r="H122" s="195"/>
      <x:c r="I122" s="195"/>
      <x:c r="J122" s="195"/>
      <x:c r="K122" s="219"/>
      <x:c r="L122" s="195"/>
      <x:c r="M122" s="195"/>
      <x:c r="N122" s="219"/>
      <x:c r="O122" s="220" t="str">
        <x:f>IF(COUNTA($A122:$M122)=0,"",IF($N122="","待补",IF($N122&gt;=40,25,IF($N122&gt;=35,22,IF($N122&gt;=30,10,0)))))</x:f>
      </x:c>
      <x:c r="P122" s="220" t="str">
        <x:f>IF(COUNTA($A122:$M122)=0,"",IF(ISNUMBER($D122),IF($D122&lt;=45,20,IF($D122&lt;=60,14,IF($D122&lt;=75,8,3))),IF(OR(ISNUMBER(SEARCH("兴隆湖",$C122)),ISNUMBER(SEARCH("科学城",$C122))),20,IF(ISNUMBER(SEARCH("天府新区",$C122)),18,IF(OR(ISNUMBER(SEARCH("新川",$C122)),ISNUMBER(SEARCH("天府软件园",$C122)),ISNUMBER(SEARCH("高新南",$C122)),ISNUMBER(SEARCH("金融城",$C122))),12,5)))))</x:f>
      </x:c>
      <x:c r="Q122" s="220" t="str">
        <x:f>IF(COUNTA($A122:$M122)=0,"",SWITCH($H122,"核心",20,"强相关",16,"一般",10,"弱相关",5,"无",0,0))</x:f>
      </x:c>
      <x:c r="R122" s="220" t="str">
        <x:f>IF(COUNTA($A122:$M122)=0,"",SWITCH($I122,"核心",20,"强相关",16,"一般",10,"弱相关",5,"无",0,0))</x:f>
      </x:c>
      <x:c r="S122" s="220" t="str">
        <x:f>IF(COUNTA($A122:$M122)=0,"",SWITCH($J122,"高",15,"中高",12,"中",9,"低",4,"待核验",8,0))</x:f>
      </x:c>
      <x:c r="T122" s="220" t="str">
        <x:f>IF(COUNTA($A122:$M122)=0,"",SUM($O122:$S122))</x:f>
      </x:c>
      <x:c r="U122" s="221" t="str">
        <x:f>IF(COUNTA($A122:$M122)=0,"",IF($N122="","待补base",IF(OR($N122&lt;30,$T122&lt;70),"不投",IF($N122&lt;35,"备选",IF($T122&gt;=85,"优先约聊","备选")))))</x:f>
      </x:c>
      <x:c r="V122" s="195"/>
      <x:c r="W122" s="222"/>
      <x:c r="X122" s="195"/>
      <x:c r="Y122" s="180"/>
    </x:row>
    <x:row r="123" ht="15" hidden="0" customHeight="1">
      <x:c r="A123" s="217"/>
      <x:c r="B123" s="195"/>
      <x:c r="C123" s="195"/>
      <x:c r="D123" s="218"/>
      <x:c r="E123" s="195"/>
      <x:c r="F123" s="195"/>
      <x:c r="G123" s="195"/>
      <x:c r="H123" s="195"/>
      <x:c r="I123" s="195"/>
      <x:c r="J123" s="195"/>
      <x:c r="K123" s="219"/>
      <x:c r="L123" s="195"/>
      <x:c r="M123" s="195"/>
      <x:c r="N123" s="219"/>
      <x:c r="O123" s="220" t="str">
        <x:f>IF(COUNTA($A123:$M123)=0,"",IF($N123="","待补",IF($N123&gt;=40,25,IF($N123&gt;=35,22,IF($N123&gt;=30,10,0)))))</x:f>
      </x:c>
      <x:c r="P123" s="220" t="str">
        <x:f>IF(COUNTA($A123:$M123)=0,"",IF(ISNUMBER($D123),IF($D123&lt;=45,20,IF($D123&lt;=60,14,IF($D123&lt;=75,8,3))),IF(OR(ISNUMBER(SEARCH("兴隆湖",$C123)),ISNUMBER(SEARCH("科学城",$C123))),20,IF(ISNUMBER(SEARCH("天府新区",$C123)),18,IF(OR(ISNUMBER(SEARCH("新川",$C123)),ISNUMBER(SEARCH("天府软件园",$C123)),ISNUMBER(SEARCH("高新南",$C123)),ISNUMBER(SEARCH("金融城",$C123))),12,5)))))</x:f>
      </x:c>
      <x:c r="Q123" s="220" t="str">
        <x:f>IF(COUNTA($A123:$M123)=0,"",SWITCH($H123,"核心",20,"强相关",16,"一般",10,"弱相关",5,"无",0,0))</x:f>
      </x:c>
      <x:c r="R123" s="220" t="str">
        <x:f>IF(COUNTA($A123:$M123)=0,"",SWITCH($I123,"核心",20,"强相关",16,"一般",10,"弱相关",5,"无",0,0))</x:f>
      </x:c>
      <x:c r="S123" s="220" t="str">
        <x:f>IF(COUNTA($A123:$M123)=0,"",SWITCH($J123,"高",15,"中高",12,"中",9,"低",4,"待核验",8,0))</x:f>
      </x:c>
      <x:c r="T123" s="220" t="str">
        <x:f>IF(COUNTA($A123:$M123)=0,"",SUM($O123:$S123))</x:f>
      </x:c>
      <x:c r="U123" s="221" t="str">
        <x:f>IF(COUNTA($A123:$M123)=0,"",IF($N123="","待补base",IF(OR($N123&lt;30,$T123&lt;70),"不投",IF($N123&lt;35,"备选",IF($T123&gt;=85,"优先约聊","备选")))))</x:f>
      </x:c>
      <x:c r="V123" s="195"/>
      <x:c r="W123" s="222"/>
      <x:c r="X123" s="195"/>
      <x:c r="Y123" s="180"/>
    </x:row>
    <x:row r="124" ht="15" hidden="0" customHeight="1">
      <x:c r="A124" s="217"/>
      <x:c r="B124" s="195"/>
      <x:c r="C124" s="195"/>
      <x:c r="D124" s="218"/>
      <x:c r="E124" s="195"/>
      <x:c r="F124" s="195"/>
      <x:c r="G124" s="195"/>
      <x:c r="H124" s="195"/>
      <x:c r="I124" s="195"/>
      <x:c r="J124" s="195"/>
      <x:c r="K124" s="219"/>
      <x:c r="L124" s="195"/>
      <x:c r="M124" s="195"/>
      <x:c r="N124" s="219"/>
      <x:c r="O124" s="220" t="str">
        <x:f>IF(COUNTA($A124:$M124)=0,"",IF($N124="","待补",IF($N124&gt;=40,25,IF($N124&gt;=35,22,IF($N124&gt;=30,10,0)))))</x:f>
      </x:c>
      <x:c r="P124" s="220" t="str">
        <x:f>IF(COUNTA($A124:$M124)=0,"",IF(ISNUMBER($D124),IF($D124&lt;=45,20,IF($D124&lt;=60,14,IF($D124&lt;=75,8,3))),IF(OR(ISNUMBER(SEARCH("兴隆湖",$C124)),ISNUMBER(SEARCH("科学城",$C124))),20,IF(ISNUMBER(SEARCH("天府新区",$C124)),18,IF(OR(ISNUMBER(SEARCH("新川",$C124)),ISNUMBER(SEARCH("天府软件园",$C124)),ISNUMBER(SEARCH("高新南",$C124)),ISNUMBER(SEARCH("金融城",$C124))),12,5)))))</x:f>
      </x:c>
      <x:c r="Q124" s="220" t="str">
        <x:f>IF(COUNTA($A124:$M124)=0,"",SWITCH($H124,"核心",20,"强相关",16,"一般",10,"弱相关",5,"无",0,0))</x:f>
      </x:c>
      <x:c r="R124" s="220" t="str">
        <x:f>IF(COUNTA($A124:$M124)=0,"",SWITCH($I124,"核心",20,"强相关",16,"一般",10,"弱相关",5,"无",0,0))</x:f>
      </x:c>
      <x:c r="S124" s="220" t="str">
        <x:f>IF(COUNTA($A124:$M124)=0,"",SWITCH($J124,"高",15,"中高",12,"中",9,"低",4,"待核验",8,0))</x:f>
      </x:c>
      <x:c r="T124" s="220" t="str">
        <x:f>IF(COUNTA($A124:$M124)=0,"",SUM($O124:$S124))</x:f>
      </x:c>
      <x:c r="U124" s="221" t="str">
        <x:f>IF(COUNTA($A124:$M124)=0,"",IF($N124="","待补base",IF(OR($N124&lt;30,$T124&lt;70),"不投",IF($N124&lt;35,"备选",IF($T124&gt;=85,"优先约聊","备选")))))</x:f>
      </x:c>
      <x:c r="V124" s="195"/>
      <x:c r="W124" s="222"/>
      <x:c r="X124" s="195"/>
      <x:c r="Y124" s="180"/>
    </x:row>
    <x:row r="125" ht="15" hidden="0" customHeight="1">
      <x:c r="A125" s="217"/>
      <x:c r="B125" s="195"/>
      <x:c r="C125" s="195"/>
      <x:c r="D125" s="218"/>
      <x:c r="E125" s="195"/>
      <x:c r="F125" s="195"/>
      <x:c r="G125" s="195"/>
      <x:c r="H125" s="195"/>
      <x:c r="I125" s="195"/>
      <x:c r="J125" s="195"/>
      <x:c r="K125" s="219"/>
      <x:c r="L125" s="195"/>
      <x:c r="M125" s="195"/>
      <x:c r="N125" s="219"/>
      <x:c r="O125" s="220" t="str">
        <x:f>IF(COUNTA($A125:$M125)=0,"",IF($N125="","待补",IF($N125&gt;=40,25,IF($N125&gt;=35,22,IF($N125&gt;=30,10,0)))))</x:f>
      </x:c>
      <x:c r="P125" s="220" t="str">
        <x:f>IF(COUNTA($A125:$M125)=0,"",IF(ISNUMBER($D125),IF($D125&lt;=45,20,IF($D125&lt;=60,14,IF($D125&lt;=75,8,3))),IF(OR(ISNUMBER(SEARCH("兴隆湖",$C125)),ISNUMBER(SEARCH("科学城",$C125))),20,IF(ISNUMBER(SEARCH("天府新区",$C125)),18,IF(OR(ISNUMBER(SEARCH("新川",$C125)),ISNUMBER(SEARCH("天府软件园",$C125)),ISNUMBER(SEARCH("高新南",$C125)),ISNUMBER(SEARCH("金融城",$C125))),12,5)))))</x:f>
      </x:c>
      <x:c r="Q125" s="220" t="str">
        <x:f>IF(COUNTA($A125:$M125)=0,"",SWITCH($H125,"核心",20,"强相关",16,"一般",10,"弱相关",5,"无",0,0))</x:f>
      </x:c>
      <x:c r="R125" s="220" t="str">
        <x:f>IF(COUNTA($A125:$M125)=0,"",SWITCH($I125,"核心",20,"强相关",16,"一般",10,"弱相关",5,"无",0,0))</x:f>
      </x:c>
      <x:c r="S125" s="220" t="str">
        <x:f>IF(COUNTA($A125:$M125)=0,"",SWITCH($J125,"高",15,"中高",12,"中",9,"低",4,"待核验",8,0))</x:f>
      </x:c>
      <x:c r="T125" s="220" t="str">
        <x:f>IF(COUNTA($A125:$M125)=0,"",SUM($O125:$S125))</x:f>
      </x:c>
      <x:c r="U125" s="221" t="str">
        <x:f>IF(COUNTA($A125:$M125)=0,"",IF($N125="","待补base",IF(OR($N125&lt;30,$T125&lt;70),"不投",IF($N125&lt;35,"备选",IF($T125&gt;=85,"优先约聊","备选")))))</x:f>
      </x:c>
      <x:c r="V125" s="195"/>
      <x:c r="W125" s="222"/>
      <x:c r="X125" s="195"/>
      <x:c r="Y125" s="180"/>
    </x:row>
    <x:row r="126" ht="15" hidden="0" customHeight="1">
      <x:c r="A126" s="217"/>
      <x:c r="B126" s="195"/>
      <x:c r="C126" s="195"/>
      <x:c r="D126" s="218"/>
      <x:c r="E126" s="195"/>
      <x:c r="F126" s="195"/>
      <x:c r="G126" s="195"/>
      <x:c r="H126" s="195"/>
      <x:c r="I126" s="195"/>
      <x:c r="J126" s="195"/>
      <x:c r="K126" s="219"/>
      <x:c r="L126" s="195"/>
      <x:c r="M126" s="195"/>
      <x:c r="N126" s="219"/>
      <x:c r="O126" s="220" t="str">
        <x:f>IF(COUNTA($A126:$M126)=0,"",IF($N126="","待补",IF($N126&gt;=40,25,IF($N126&gt;=35,22,IF($N126&gt;=30,10,0)))))</x:f>
      </x:c>
      <x:c r="P126" s="220" t="str">
        <x:f>IF(COUNTA($A126:$M126)=0,"",IF(ISNUMBER($D126),IF($D126&lt;=45,20,IF($D126&lt;=60,14,IF($D126&lt;=75,8,3))),IF(OR(ISNUMBER(SEARCH("兴隆湖",$C126)),ISNUMBER(SEARCH("科学城",$C126))),20,IF(ISNUMBER(SEARCH("天府新区",$C126)),18,IF(OR(ISNUMBER(SEARCH("新川",$C126)),ISNUMBER(SEARCH("天府软件园",$C126)),ISNUMBER(SEARCH("高新南",$C126)),ISNUMBER(SEARCH("金融城",$C126))),12,5)))))</x:f>
      </x:c>
      <x:c r="Q126" s="220" t="str">
        <x:f>IF(COUNTA($A126:$M126)=0,"",SWITCH($H126,"核心",20,"强相关",16,"一般",10,"弱相关",5,"无",0,0))</x:f>
      </x:c>
      <x:c r="R126" s="220" t="str">
        <x:f>IF(COUNTA($A126:$M126)=0,"",SWITCH($I126,"核心",20,"强相关",16,"一般",10,"弱相关",5,"无",0,0))</x:f>
      </x:c>
      <x:c r="S126" s="220" t="str">
        <x:f>IF(COUNTA($A126:$M126)=0,"",SWITCH($J126,"高",15,"中高",12,"中",9,"低",4,"待核验",8,0))</x:f>
      </x:c>
      <x:c r="T126" s="220" t="str">
        <x:f>IF(COUNTA($A126:$M126)=0,"",SUM($O126:$S126))</x:f>
      </x:c>
      <x:c r="U126" s="221" t="str">
        <x:f>IF(COUNTA($A126:$M126)=0,"",IF($N126="","待补base",IF(OR($N126&lt;30,$T126&lt;70),"不投",IF($N126&lt;35,"备选",IF($T126&gt;=85,"优先约聊","备选")))))</x:f>
      </x:c>
      <x:c r="V126" s="195"/>
      <x:c r="W126" s="222"/>
      <x:c r="X126" s="195"/>
      <x:c r="Y126" s="180"/>
    </x:row>
    <x:row r="127" ht="15" hidden="0" customHeight="1">
      <x:c r="A127" s="217"/>
      <x:c r="B127" s="195"/>
      <x:c r="C127" s="195"/>
      <x:c r="D127" s="218"/>
      <x:c r="E127" s="195"/>
      <x:c r="F127" s="195"/>
      <x:c r="G127" s="195"/>
      <x:c r="H127" s="195"/>
      <x:c r="I127" s="195"/>
      <x:c r="J127" s="195"/>
      <x:c r="K127" s="219"/>
      <x:c r="L127" s="195"/>
      <x:c r="M127" s="195"/>
      <x:c r="N127" s="219"/>
      <x:c r="O127" s="220" t="str">
        <x:f>IF(COUNTA($A127:$M127)=0,"",IF($N127="","待补",IF($N127&gt;=40,25,IF($N127&gt;=35,22,IF($N127&gt;=30,10,0)))))</x:f>
      </x:c>
      <x:c r="P127" s="220" t="str">
        <x:f>IF(COUNTA($A127:$M127)=0,"",IF(ISNUMBER($D127),IF($D127&lt;=45,20,IF($D127&lt;=60,14,IF($D127&lt;=75,8,3))),IF(OR(ISNUMBER(SEARCH("兴隆湖",$C127)),ISNUMBER(SEARCH("科学城",$C127))),20,IF(ISNUMBER(SEARCH("天府新区",$C127)),18,IF(OR(ISNUMBER(SEARCH("新川",$C127)),ISNUMBER(SEARCH("天府软件园",$C127)),ISNUMBER(SEARCH("高新南",$C127)),ISNUMBER(SEARCH("金融城",$C127))),12,5)))))</x:f>
      </x:c>
      <x:c r="Q127" s="220" t="str">
        <x:f>IF(COUNTA($A127:$M127)=0,"",SWITCH($H127,"核心",20,"强相关",16,"一般",10,"弱相关",5,"无",0,0))</x:f>
      </x:c>
      <x:c r="R127" s="220" t="str">
        <x:f>IF(COUNTA($A127:$M127)=0,"",SWITCH($I127,"核心",20,"强相关",16,"一般",10,"弱相关",5,"无",0,0))</x:f>
      </x:c>
      <x:c r="S127" s="220" t="str">
        <x:f>IF(COUNTA($A127:$M127)=0,"",SWITCH($J127,"高",15,"中高",12,"中",9,"低",4,"待核验",8,0))</x:f>
      </x:c>
      <x:c r="T127" s="220" t="str">
        <x:f>IF(COUNTA($A127:$M127)=0,"",SUM($O127:$S127))</x:f>
      </x:c>
      <x:c r="U127" s="221" t="str">
        <x:f>IF(COUNTA($A127:$M127)=0,"",IF($N127="","待补base",IF(OR($N127&lt;30,$T127&lt;70),"不投",IF($N127&lt;35,"备选",IF($T127&gt;=85,"优先约聊","备选")))))</x:f>
      </x:c>
      <x:c r="V127" s="195"/>
      <x:c r="W127" s="222"/>
      <x:c r="X127" s="195"/>
      <x:c r="Y127" s="180"/>
    </x:row>
    <x:row r="128" ht="15" hidden="0" customHeight="1">
      <x:c r="A128" s="217"/>
      <x:c r="B128" s="195"/>
      <x:c r="C128" s="195"/>
      <x:c r="D128" s="218"/>
      <x:c r="E128" s="195"/>
      <x:c r="F128" s="195"/>
      <x:c r="G128" s="195"/>
      <x:c r="H128" s="195"/>
      <x:c r="I128" s="195"/>
      <x:c r="J128" s="195"/>
      <x:c r="K128" s="219"/>
      <x:c r="L128" s="195"/>
      <x:c r="M128" s="195"/>
      <x:c r="N128" s="219"/>
      <x:c r="O128" s="220" t="str">
        <x:f>IF(COUNTA($A128:$M128)=0,"",IF($N128="","待补",IF($N128&gt;=40,25,IF($N128&gt;=35,22,IF($N128&gt;=30,10,0)))))</x:f>
      </x:c>
      <x:c r="P128" s="220" t="str">
        <x:f>IF(COUNTA($A128:$M128)=0,"",IF(ISNUMBER($D128),IF($D128&lt;=45,20,IF($D128&lt;=60,14,IF($D128&lt;=75,8,3))),IF(OR(ISNUMBER(SEARCH("兴隆湖",$C128)),ISNUMBER(SEARCH("科学城",$C128))),20,IF(ISNUMBER(SEARCH("天府新区",$C128)),18,IF(OR(ISNUMBER(SEARCH("新川",$C128)),ISNUMBER(SEARCH("天府软件园",$C128)),ISNUMBER(SEARCH("高新南",$C128)),ISNUMBER(SEARCH("金融城",$C128))),12,5)))))</x:f>
      </x:c>
      <x:c r="Q128" s="220" t="str">
        <x:f>IF(COUNTA($A128:$M128)=0,"",SWITCH($H128,"核心",20,"强相关",16,"一般",10,"弱相关",5,"无",0,0))</x:f>
      </x:c>
      <x:c r="R128" s="220" t="str">
        <x:f>IF(COUNTA($A128:$M128)=0,"",SWITCH($I128,"核心",20,"强相关",16,"一般",10,"弱相关",5,"无",0,0))</x:f>
      </x:c>
      <x:c r="S128" s="220" t="str">
        <x:f>IF(COUNTA($A128:$M128)=0,"",SWITCH($J128,"高",15,"中高",12,"中",9,"低",4,"待核验",8,0))</x:f>
      </x:c>
      <x:c r="T128" s="220" t="str">
        <x:f>IF(COUNTA($A128:$M128)=0,"",SUM($O128:$S128))</x:f>
      </x:c>
      <x:c r="U128" s="221" t="str">
        <x:f>IF(COUNTA($A128:$M128)=0,"",IF($N128="","待补base",IF(OR($N128&lt;30,$T128&lt;70),"不投",IF($N128&lt;35,"备选",IF($T128&gt;=85,"优先约聊","备选")))))</x:f>
      </x:c>
      <x:c r="V128" s="195"/>
      <x:c r="W128" s="222"/>
      <x:c r="X128" s="195"/>
      <x:c r="Y128" s="180"/>
    </x:row>
    <x:row r="129" ht="15" hidden="0" customHeight="1">
      <x:c r="A129" s="217"/>
      <x:c r="B129" s="195"/>
      <x:c r="C129" s="195"/>
      <x:c r="D129" s="218"/>
      <x:c r="E129" s="195"/>
      <x:c r="F129" s="195"/>
      <x:c r="G129" s="195"/>
      <x:c r="H129" s="195"/>
      <x:c r="I129" s="195"/>
      <x:c r="J129" s="195"/>
      <x:c r="K129" s="219"/>
      <x:c r="L129" s="195"/>
      <x:c r="M129" s="195"/>
      <x:c r="N129" s="219"/>
      <x:c r="O129" s="220" t="str">
        <x:f>IF(COUNTA($A129:$M129)=0,"",IF($N129="","待补",IF($N129&gt;=40,25,IF($N129&gt;=35,22,IF($N129&gt;=30,10,0)))))</x:f>
      </x:c>
      <x:c r="P129" s="220" t="str">
        <x:f>IF(COUNTA($A129:$M129)=0,"",IF(ISNUMBER($D129),IF($D129&lt;=45,20,IF($D129&lt;=60,14,IF($D129&lt;=75,8,3))),IF(OR(ISNUMBER(SEARCH("兴隆湖",$C129)),ISNUMBER(SEARCH("科学城",$C129))),20,IF(ISNUMBER(SEARCH("天府新区",$C129)),18,IF(OR(ISNUMBER(SEARCH("新川",$C129)),ISNUMBER(SEARCH("天府软件园",$C129)),ISNUMBER(SEARCH("高新南",$C129)),ISNUMBER(SEARCH("金融城",$C129))),12,5)))))</x:f>
      </x:c>
      <x:c r="Q129" s="220" t="str">
        <x:f>IF(COUNTA($A129:$M129)=0,"",SWITCH($H129,"核心",20,"强相关",16,"一般",10,"弱相关",5,"无",0,0))</x:f>
      </x:c>
      <x:c r="R129" s="220" t="str">
        <x:f>IF(COUNTA($A129:$M129)=0,"",SWITCH($I129,"核心",20,"强相关",16,"一般",10,"弱相关",5,"无",0,0))</x:f>
      </x:c>
      <x:c r="S129" s="220" t="str">
        <x:f>IF(COUNTA($A129:$M129)=0,"",SWITCH($J129,"高",15,"中高",12,"中",9,"低",4,"待核验",8,0))</x:f>
      </x:c>
      <x:c r="T129" s="220" t="str">
        <x:f>IF(COUNTA($A129:$M129)=0,"",SUM($O129:$S129))</x:f>
      </x:c>
      <x:c r="U129" s="221" t="str">
        <x:f>IF(COUNTA($A129:$M129)=0,"",IF($N129="","待补base",IF(OR($N129&lt;30,$T129&lt;70),"不投",IF($N129&lt;35,"备选",IF($T129&gt;=85,"优先约聊","备选")))))</x:f>
      </x:c>
      <x:c r="V129" s="195"/>
      <x:c r="W129" s="222"/>
      <x:c r="X129" s="195"/>
      <x:c r="Y129" s="180"/>
    </x:row>
    <x:row r="130" ht="15" hidden="0" customHeight="1">
      <x:c r="A130" s="217"/>
      <x:c r="B130" s="195"/>
      <x:c r="C130" s="195"/>
      <x:c r="D130" s="218"/>
      <x:c r="E130" s="195"/>
      <x:c r="F130" s="195"/>
      <x:c r="G130" s="195"/>
      <x:c r="H130" s="195"/>
      <x:c r="I130" s="195"/>
      <x:c r="J130" s="195"/>
      <x:c r="K130" s="219"/>
      <x:c r="L130" s="195"/>
      <x:c r="M130" s="195"/>
      <x:c r="N130" s="219"/>
      <x:c r="O130" s="220" t="str">
        <x:f>IF(COUNTA($A130:$M130)=0,"",IF($N130="","待补",IF($N130&gt;=40,25,IF($N130&gt;=35,22,IF($N130&gt;=30,10,0)))))</x:f>
      </x:c>
      <x:c r="P130" s="220" t="str">
        <x:f>IF(COUNTA($A130:$M130)=0,"",IF(ISNUMBER($D130),IF($D130&lt;=45,20,IF($D130&lt;=60,14,IF($D130&lt;=75,8,3))),IF(OR(ISNUMBER(SEARCH("兴隆湖",$C130)),ISNUMBER(SEARCH("科学城",$C130))),20,IF(ISNUMBER(SEARCH("天府新区",$C130)),18,IF(OR(ISNUMBER(SEARCH("新川",$C130)),ISNUMBER(SEARCH("天府软件园",$C130)),ISNUMBER(SEARCH("高新南",$C130)),ISNUMBER(SEARCH("金融城",$C130))),12,5)))))</x:f>
      </x:c>
      <x:c r="Q130" s="220" t="str">
        <x:f>IF(COUNTA($A130:$M130)=0,"",SWITCH($H130,"核心",20,"强相关",16,"一般",10,"弱相关",5,"无",0,0))</x:f>
      </x:c>
      <x:c r="R130" s="220" t="str">
        <x:f>IF(COUNTA($A130:$M130)=0,"",SWITCH($I130,"核心",20,"强相关",16,"一般",10,"弱相关",5,"无",0,0))</x:f>
      </x:c>
      <x:c r="S130" s="220" t="str">
        <x:f>IF(COUNTA($A130:$M130)=0,"",SWITCH($J130,"高",15,"中高",12,"中",9,"低",4,"待核验",8,0))</x:f>
      </x:c>
      <x:c r="T130" s="220" t="str">
        <x:f>IF(COUNTA($A130:$M130)=0,"",SUM($O130:$S130))</x:f>
      </x:c>
      <x:c r="U130" s="221" t="str">
        <x:f>IF(COUNTA($A130:$M130)=0,"",IF($N130="","待补base",IF(OR($N130&lt;30,$T130&lt;70),"不投",IF($N130&lt;35,"备选",IF($T130&gt;=85,"优先约聊","备选")))))</x:f>
      </x:c>
      <x:c r="V130" s="195"/>
      <x:c r="W130" s="222"/>
      <x:c r="X130" s="195"/>
      <x:c r="Y130" s="180"/>
    </x:row>
    <x:row r="131" ht="15" hidden="0" customHeight="1">
      <x:c r="A131" s="217"/>
      <x:c r="B131" s="195"/>
      <x:c r="C131" s="195"/>
      <x:c r="D131" s="218"/>
      <x:c r="E131" s="195"/>
      <x:c r="F131" s="195"/>
      <x:c r="G131" s="195"/>
      <x:c r="H131" s="195"/>
      <x:c r="I131" s="195"/>
      <x:c r="J131" s="195"/>
      <x:c r="K131" s="219"/>
      <x:c r="L131" s="195"/>
      <x:c r="M131" s="195"/>
      <x:c r="N131" s="219"/>
      <x:c r="O131" s="220" t="str">
        <x:f>IF(COUNTA($A131:$M131)=0,"",IF($N131="","待补",IF($N131&gt;=40,25,IF($N131&gt;=35,22,IF($N131&gt;=30,10,0)))))</x:f>
      </x:c>
      <x:c r="P131" s="220" t="str">
        <x:f>IF(COUNTA($A131:$M131)=0,"",IF(ISNUMBER($D131),IF($D131&lt;=45,20,IF($D131&lt;=60,14,IF($D131&lt;=75,8,3))),IF(OR(ISNUMBER(SEARCH("兴隆湖",$C131)),ISNUMBER(SEARCH("科学城",$C131))),20,IF(ISNUMBER(SEARCH("天府新区",$C131)),18,IF(OR(ISNUMBER(SEARCH("新川",$C131)),ISNUMBER(SEARCH("天府软件园",$C131)),ISNUMBER(SEARCH("高新南",$C131)),ISNUMBER(SEARCH("金融城",$C131))),12,5)))))</x:f>
      </x:c>
      <x:c r="Q131" s="220" t="str">
        <x:f>IF(COUNTA($A131:$M131)=0,"",SWITCH($H131,"核心",20,"强相关",16,"一般",10,"弱相关",5,"无",0,0))</x:f>
      </x:c>
      <x:c r="R131" s="220" t="str">
        <x:f>IF(COUNTA($A131:$M131)=0,"",SWITCH($I131,"核心",20,"强相关",16,"一般",10,"弱相关",5,"无",0,0))</x:f>
      </x:c>
      <x:c r="S131" s="220" t="str">
        <x:f>IF(COUNTA($A131:$M131)=0,"",SWITCH($J131,"高",15,"中高",12,"中",9,"低",4,"待核验",8,0))</x:f>
      </x:c>
      <x:c r="T131" s="220" t="str">
        <x:f>IF(COUNTA($A131:$M131)=0,"",SUM($O131:$S131))</x:f>
      </x:c>
      <x:c r="U131" s="221" t="str">
        <x:f>IF(COUNTA($A131:$M131)=0,"",IF($N131="","待补base",IF(OR($N131&lt;30,$T131&lt;70),"不投",IF($N131&lt;35,"备选",IF($T131&gt;=85,"优先约聊","备选")))))</x:f>
      </x:c>
      <x:c r="V131" s="195"/>
      <x:c r="W131" s="222"/>
      <x:c r="X131" s="195"/>
      <x:c r="Y131" s="180"/>
    </x:row>
    <x:row r="132" ht="15" hidden="0" customHeight="1">
      <x:c r="A132" s="217"/>
      <x:c r="B132" s="195"/>
      <x:c r="C132" s="195"/>
      <x:c r="D132" s="218"/>
      <x:c r="E132" s="195"/>
      <x:c r="F132" s="195"/>
      <x:c r="G132" s="195"/>
      <x:c r="H132" s="195"/>
      <x:c r="I132" s="195"/>
      <x:c r="J132" s="195"/>
      <x:c r="K132" s="219"/>
      <x:c r="L132" s="195"/>
      <x:c r="M132" s="195"/>
      <x:c r="N132" s="219"/>
      <x:c r="O132" s="220" t="str">
        <x:f>IF(COUNTA($A132:$M132)=0,"",IF($N132="","待补",IF($N132&gt;=40,25,IF($N132&gt;=35,22,IF($N132&gt;=30,10,0)))))</x:f>
      </x:c>
      <x:c r="P132" s="220" t="str">
        <x:f>IF(COUNTA($A132:$M132)=0,"",IF(ISNUMBER($D132),IF($D132&lt;=45,20,IF($D132&lt;=60,14,IF($D132&lt;=75,8,3))),IF(OR(ISNUMBER(SEARCH("兴隆湖",$C132)),ISNUMBER(SEARCH("科学城",$C132))),20,IF(ISNUMBER(SEARCH("天府新区",$C132)),18,IF(OR(ISNUMBER(SEARCH("新川",$C132)),ISNUMBER(SEARCH("天府软件园",$C132)),ISNUMBER(SEARCH("高新南",$C132)),ISNUMBER(SEARCH("金融城",$C132))),12,5)))))</x:f>
      </x:c>
      <x:c r="Q132" s="220" t="str">
        <x:f>IF(COUNTA($A132:$M132)=0,"",SWITCH($H132,"核心",20,"强相关",16,"一般",10,"弱相关",5,"无",0,0))</x:f>
      </x:c>
      <x:c r="R132" s="220" t="str">
        <x:f>IF(COUNTA($A132:$M132)=0,"",SWITCH($I132,"核心",20,"强相关",16,"一般",10,"弱相关",5,"无",0,0))</x:f>
      </x:c>
      <x:c r="S132" s="220" t="str">
        <x:f>IF(COUNTA($A132:$M132)=0,"",SWITCH($J132,"高",15,"中高",12,"中",9,"低",4,"待核验",8,0))</x:f>
      </x:c>
      <x:c r="T132" s="220" t="str">
        <x:f>IF(COUNTA($A132:$M132)=0,"",SUM($O132:$S132))</x:f>
      </x:c>
      <x:c r="U132" s="221" t="str">
        <x:f>IF(COUNTA($A132:$M132)=0,"",IF($N132="","待补base",IF(OR($N132&lt;30,$T132&lt;70),"不投",IF($N132&lt;35,"备选",IF($T132&gt;=85,"优先约聊","备选")))))</x:f>
      </x:c>
      <x:c r="V132" s="195"/>
      <x:c r="W132" s="222"/>
      <x:c r="X132" s="195"/>
      <x:c r="Y132" s="180"/>
    </x:row>
    <x:row r="133" ht="15" hidden="0" customHeight="1">
      <x:c r="A133" s="217"/>
      <x:c r="B133" s="195"/>
      <x:c r="C133" s="195"/>
      <x:c r="D133" s="218"/>
      <x:c r="E133" s="195"/>
      <x:c r="F133" s="195"/>
      <x:c r="G133" s="195"/>
      <x:c r="H133" s="195"/>
      <x:c r="I133" s="195"/>
      <x:c r="J133" s="195"/>
      <x:c r="K133" s="219"/>
      <x:c r="L133" s="195"/>
      <x:c r="M133" s="195"/>
      <x:c r="N133" s="219"/>
      <x:c r="O133" s="220" t="str">
        <x:f>IF(COUNTA($A133:$M133)=0,"",IF($N133="","待补",IF($N133&gt;=40,25,IF($N133&gt;=35,22,IF($N133&gt;=30,10,0)))))</x:f>
      </x:c>
      <x:c r="P133" s="220" t="str">
        <x:f>IF(COUNTA($A133:$M133)=0,"",IF(ISNUMBER($D133),IF($D133&lt;=45,20,IF($D133&lt;=60,14,IF($D133&lt;=75,8,3))),IF(OR(ISNUMBER(SEARCH("兴隆湖",$C133)),ISNUMBER(SEARCH("科学城",$C133))),20,IF(ISNUMBER(SEARCH("天府新区",$C133)),18,IF(OR(ISNUMBER(SEARCH("新川",$C133)),ISNUMBER(SEARCH("天府软件园",$C133)),ISNUMBER(SEARCH("高新南",$C133)),ISNUMBER(SEARCH("金融城",$C133))),12,5)))))</x:f>
      </x:c>
      <x:c r="Q133" s="220" t="str">
        <x:f>IF(COUNTA($A133:$M133)=0,"",SWITCH($H133,"核心",20,"强相关",16,"一般",10,"弱相关",5,"无",0,0))</x:f>
      </x:c>
      <x:c r="R133" s="220" t="str">
        <x:f>IF(COUNTA($A133:$M133)=0,"",SWITCH($I133,"核心",20,"强相关",16,"一般",10,"弱相关",5,"无",0,0))</x:f>
      </x:c>
      <x:c r="S133" s="220" t="str">
        <x:f>IF(COUNTA($A133:$M133)=0,"",SWITCH($J133,"高",15,"中高",12,"中",9,"低",4,"待核验",8,0))</x:f>
      </x:c>
      <x:c r="T133" s="220" t="str">
        <x:f>IF(COUNTA($A133:$M133)=0,"",SUM($O133:$S133))</x:f>
      </x:c>
      <x:c r="U133" s="221" t="str">
        <x:f>IF(COUNTA($A133:$M133)=0,"",IF($N133="","待补base",IF(OR($N133&lt;30,$T133&lt;70),"不投",IF($N133&lt;35,"备选",IF($T133&gt;=85,"优先约聊","备选")))))</x:f>
      </x:c>
      <x:c r="V133" s="195"/>
      <x:c r="W133" s="222"/>
      <x:c r="X133" s="195"/>
      <x:c r="Y133" s="180"/>
    </x:row>
    <x:row r="134" ht="15" hidden="0" customHeight="1">
      <x:c r="A134" s="217"/>
      <x:c r="B134" s="195"/>
      <x:c r="C134" s="195"/>
      <x:c r="D134" s="218"/>
      <x:c r="E134" s="195"/>
      <x:c r="F134" s="195"/>
      <x:c r="G134" s="195"/>
      <x:c r="H134" s="195"/>
      <x:c r="I134" s="195"/>
      <x:c r="J134" s="195"/>
      <x:c r="K134" s="219"/>
      <x:c r="L134" s="195"/>
      <x:c r="M134" s="195"/>
      <x:c r="N134" s="219"/>
      <x:c r="O134" s="220" t="str">
        <x:f>IF(COUNTA($A134:$M134)=0,"",IF($N134="","待补",IF($N134&gt;=40,25,IF($N134&gt;=35,22,IF($N134&gt;=30,10,0)))))</x:f>
      </x:c>
      <x:c r="P134" s="220" t="str">
        <x:f>IF(COUNTA($A134:$M134)=0,"",IF(ISNUMBER($D134),IF($D134&lt;=45,20,IF($D134&lt;=60,14,IF($D134&lt;=75,8,3))),IF(OR(ISNUMBER(SEARCH("兴隆湖",$C134)),ISNUMBER(SEARCH("科学城",$C134))),20,IF(ISNUMBER(SEARCH("天府新区",$C134)),18,IF(OR(ISNUMBER(SEARCH("新川",$C134)),ISNUMBER(SEARCH("天府软件园",$C134)),ISNUMBER(SEARCH("高新南",$C134)),ISNUMBER(SEARCH("金融城",$C134))),12,5)))))</x:f>
      </x:c>
      <x:c r="Q134" s="220" t="str">
        <x:f>IF(COUNTA($A134:$M134)=0,"",SWITCH($H134,"核心",20,"强相关",16,"一般",10,"弱相关",5,"无",0,0))</x:f>
      </x:c>
      <x:c r="R134" s="220" t="str">
        <x:f>IF(COUNTA($A134:$M134)=0,"",SWITCH($I134,"核心",20,"强相关",16,"一般",10,"弱相关",5,"无",0,0))</x:f>
      </x:c>
      <x:c r="S134" s="220" t="str">
        <x:f>IF(COUNTA($A134:$M134)=0,"",SWITCH($J134,"高",15,"中高",12,"中",9,"低",4,"待核验",8,0))</x:f>
      </x:c>
      <x:c r="T134" s="220" t="str">
        <x:f>IF(COUNTA($A134:$M134)=0,"",SUM($O134:$S134))</x:f>
      </x:c>
      <x:c r="U134" s="221" t="str">
        <x:f>IF(COUNTA($A134:$M134)=0,"",IF($N134="","待补base",IF(OR($N134&lt;30,$T134&lt;70),"不投",IF($N134&lt;35,"备选",IF($T134&gt;=85,"优先约聊","备选")))))</x:f>
      </x:c>
      <x:c r="V134" s="195"/>
      <x:c r="W134" s="222"/>
      <x:c r="X134" s="195"/>
      <x:c r="Y134" s="180"/>
    </x:row>
    <x:row r="135" ht="15" hidden="0" customHeight="1">
      <x:c r="A135" s="217"/>
      <x:c r="B135" s="195"/>
      <x:c r="C135" s="195"/>
      <x:c r="D135" s="218"/>
      <x:c r="E135" s="195"/>
      <x:c r="F135" s="195"/>
      <x:c r="G135" s="195"/>
      <x:c r="H135" s="195"/>
      <x:c r="I135" s="195"/>
      <x:c r="J135" s="195"/>
      <x:c r="K135" s="219"/>
      <x:c r="L135" s="195"/>
      <x:c r="M135" s="195"/>
      <x:c r="N135" s="219"/>
      <x:c r="O135" s="220" t="str">
        <x:f>IF(COUNTA($A135:$M135)=0,"",IF($N135="","待补",IF($N135&gt;=40,25,IF($N135&gt;=35,22,IF($N135&gt;=30,10,0)))))</x:f>
      </x:c>
      <x:c r="P135" s="220" t="str">
        <x:f>IF(COUNTA($A135:$M135)=0,"",IF(ISNUMBER($D135),IF($D135&lt;=45,20,IF($D135&lt;=60,14,IF($D135&lt;=75,8,3))),IF(OR(ISNUMBER(SEARCH("兴隆湖",$C135)),ISNUMBER(SEARCH("科学城",$C135))),20,IF(ISNUMBER(SEARCH("天府新区",$C135)),18,IF(OR(ISNUMBER(SEARCH("新川",$C135)),ISNUMBER(SEARCH("天府软件园",$C135)),ISNUMBER(SEARCH("高新南",$C135)),ISNUMBER(SEARCH("金融城",$C135))),12,5)))))</x:f>
      </x:c>
      <x:c r="Q135" s="220" t="str">
        <x:f>IF(COUNTA($A135:$M135)=0,"",SWITCH($H135,"核心",20,"强相关",16,"一般",10,"弱相关",5,"无",0,0))</x:f>
      </x:c>
      <x:c r="R135" s="220" t="str">
        <x:f>IF(COUNTA($A135:$M135)=0,"",SWITCH($I135,"核心",20,"强相关",16,"一般",10,"弱相关",5,"无",0,0))</x:f>
      </x:c>
      <x:c r="S135" s="220" t="str">
        <x:f>IF(COUNTA($A135:$M135)=0,"",SWITCH($J135,"高",15,"中高",12,"中",9,"低",4,"待核验",8,0))</x:f>
      </x:c>
      <x:c r="T135" s="220" t="str">
        <x:f>IF(COUNTA($A135:$M135)=0,"",SUM($O135:$S135))</x:f>
      </x:c>
      <x:c r="U135" s="221" t="str">
        <x:f>IF(COUNTA($A135:$M135)=0,"",IF($N135="","待补base",IF(OR($N135&lt;30,$T135&lt;70),"不投",IF($N135&lt;35,"备选",IF($T135&gt;=85,"优先约聊","备选")))))</x:f>
      </x:c>
      <x:c r="V135" s="195"/>
      <x:c r="W135" s="222"/>
      <x:c r="X135" s="195"/>
      <x:c r="Y135" s="180"/>
    </x:row>
    <x:row r="136" ht="15" hidden="0" customHeight="1">
      <x:c r="A136" s="217"/>
      <x:c r="B136" s="195"/>
      <x:c r="C136" s="195"/>
      <x:c r="D136" s="218"/>
      <x:c r="E136" s="195"/>
      <x:c r="F136" s="195"/>
      <x:c r="G136" s="195"/>
      <x:c r="H136" s="195"/>
      <x:c r="I136" s="195"/>
      <x:c r="J136" s="195"/>
      <x:c r="K136" s="219"/>
      <x:c r="L136" s="195"/>
      <x:c r="M136" s="195"/>
      <x:c r="N136" s="219"/>
      <x:c r="O136" s="220" t="str">
        <x:f>IF(COUNTA($A136:$M136)=0,"",IF($N136="","待补",IF($N136&gt;=40,25,IF($N136&gt;=35,22,IF($N136&gt;=30,10,0)))))</x:f>
      </x:c>
      <x:c r="P136" s="220" t="str">
        <x:f>IF(COUNTA($A136:$M136)=0,"",IF(ISNUMBER($D136),IF($D136&lt;=45,20,IF($D136&lt;=60,14,IF($D136&lt;=75,8,3))),IF(OR(ISNUMBER(SEARCH("兴隆湖",$C136)),ISNUMBER(SEARCH("科学城",$C136))),20,IF(ISNUMBER(SEARCH("天府新区",$C136)),18,IF(OR(ISNUMBER(SEARCH("新川",$C136)),ISNUMBER(SEARCH("天府软件园",$C136)),ISNUMBER(SEARCH("高新南",$C136)),ISNUMBER(SEARCH("金融城",$C136))),12,5)))))</x:f>
      </x:c>
      <x:c r="Q136" s="220" t="str">
        <x:f>IF(COUNTA($A136:$M136)=0,"",SWITCH($H136,"核心",20,"强相关",16,"一般",10,"弱相关",5,"无",0,0))</x:f>
      </x:c>
      <x:c r="R136" s="220" t="str">
        <x:f>IF(COUNTA($A136:$M136)=0,"",SWITCH($I136,"核心",20,"强相关",16,"一般",10,"弱相关",5,"无",0,0))</x:f>
      </x:c>
      <x:c r="S136" s="220" t="str">
        <x:f>IF(COUNTA($A136:$M136)=0,"",SWITCH($J136,"高",15,"中高",12,"中",9,"低",4,"待核验",8,0))</x:f>
      </x:c>
      <x:c r="T136" s="220" t="str">
        <x:f>IF(COUNTA($A136:$M136)=0,"",SUM($O136:$S136))</x:f>
      </x:c>
      <x:c r="U136" s="221" t="str">
        <x:f>IF(COUNTA($A136:$M136)=0,"",IF($N136="","待补base",IF(OR($N136&lt;30,$T136&lt;70),"不投",IF($N136&lt;35,"备选",IF($T136&gt;=85,"优先约聊","备选")))))</x:f>
      </x:c>
      <x:c r="V136" s="195"/>
      <x:c r="W136" s="222"/>
      <x:c r="X136" s="195"/>
      <x:c r="Y136" s="180"/>
    </x:row>
    <x:row r="137" ht="15" hidden="0" customHeight="1">
      <x:c r="A137" s="217"/>
      <x:c r="B137" s="195"/>
      <x:c r="C137" s="195"/>
      <x:c r="D137" s="218"/>
      <x:c r="E137" s="195"/>
      <x:c r="F137" s="195"/>
      <x:c r="G137" s="195"/>
      <x:c r="H137" s="195"/>
      <x:c r="I137" s="195"/>
      <x:c r="J137" s="195"/>
      <x:c r="K137" s="219"/>
      <x:c r="L137" s="195"/>
      <x:c r="M137" s="195"/>
      <x:c r="N137" s="219"/>
      <x:c r="O137" s="220" t="str">
        <x:f>IF(COUNTA($A137:$M137)=0,"",IF($N137="","待补",IF($N137&gt;=40,25,IF($N137&gt;=35,22,IF($N137&gt;=30,10,0)))))</x:f>
      </x:c>
      <x:c r="P137" s="220" t="str">
        <x:f>IF(COUNTA($A137:$M137)=0,"",IF(ISNUMBER($D137),IF($D137&lt;=45,20,IF($D137&lt;=60,14,IF($D137&lt;=75,8,3))),IF(OR(ISNUMBER(SEARCH("兴隆湖",$C137)),ISNUMBER(SEARCH("科学城",$C137))),20,IF(ISNUMBER(SEARCH("天府新区",$C137)),18,IF(OR(ISNUMBER(SEARCH("新川",$C137)),ISNUMBER(SEARCH("天府软件园",$C137)),ISNUMBER(SEARCH("高新南",$C137)),ISNUMBER(SEARCH("金融城",$C137))),12,5)))))</x:f>
      </x:c>
      <x:c r="Q137" s="220" t="str">
        <x:f>IF(COUNTA($A137:$M137)=0,"",SWITCH($H137,"核心",20,"强相关",16,"一般",10,"弱相关",5,"无",0,0))</x:f>
      </x:c>
      <x:c r="R137" s="220" t="str">
        <x:f>IF(COUNTA($A137:$M137)=0,"",SWITCH($I137,"核心",20,"强相关",16,"一般",10,"弱相关",5,"无",0,0))</x:f>
      </x:c>
      <x:c r="S137" s="220" t="str">
        <x:f>IF(COUNTA($A137:$M137)=0,"",SWITCH($J137,"高",15,"中高",12,"中",9,"低",4,"待核验",8,0))</x:f>
      </x:c>
      <x:c r="T137" s="220" t="str">
        <x:f>IF(COUNTA($A137:$M137)=0,"",SUM($O137:$S137))</x:f>
      </x:c>
      <x:c r="U137" s="221" t="str">
        <x:f>IF(COUNTA($A137:$M137)=0,"",IF($N137="","待补base",IF(OR($N137&lt;30,$T137&lt;70),"不投",IF($N137&lt;35,"备选",IF($T137&gt;=85,"优先约聊","备选")))))</x:f>
      </x:c>
      <x:c r="V137" s="195"/>
      <x:c r="W137" s="222"/>
      <x:c r="X137" s="195"/>
      <x:c r="Y137" s="180"/>
    </x:row>
    <x:row r="138" ht="15" hidden="0" customHeight="1">
      <x:c r="A138" s="217"/>
      <x:c r="B138" s="195"/>
      <x:c r="C138" s="195"/>
      <x:c r="D138" s="218"/>
      <x:c r="E138" s="195"/>
      <x:c r="F138" s="195"/>
      <x:c r="G138" s="195"/>
      <x:c r="H138" s="195"/>
      <x:c r="I138" s="195"/>
      <x:c r="J138" s="195"/>
      <x:c r="K138" s="219"/>
      <x:c r="L138" s="195"/>
      <x:c r="M138" s="195"/>
      <x:c r="N138" s="219"/>
      <x:c r="O138" s="220" t="str">
        <x:f>IF(COUNTA($A138:$M138)=0,"",IF($N138="","待补",IF($N138&gt;=40,25,IF($N138&gt;=35,22,IF($N138&gt;=30,10,0)))))</x:f>
      </x:c>
      <x:c r="P138" s="220" t="str">
        <x:f>IF(COUNTA($A138:$M138)=0,"",IF(ISNUMBER($D138),IF($D138&lt;=45,20,IF($D138&lt;=60,14,IF($D138&lt;=75,8,3))),IF(OR(ISNUMBER(SEARCH("兴隆湖",$C138)),ISNUMBER(SEARCH("科学城",$C138))),20,IF(ISNUMBER(SEARCH("天府新区",$C138)),18,IF(OR(ISNUMBER(SEARCH("新川",$C138)),ISNUMBER(SEARCH("天府软件园",$C138)),ISNUMBER(SEARCH("高新南",$C138)),ISNUMBER(SEARCH("金融城",$C138))),12,5)))))</x:f>
      </x:c>
      <x:c r="Q138" s="220" t="str">
        <x:f>IF(COUNTA($A138:$M138)=0,"",SWITCH($H138,"核心",20,"强相关",16,"一般",10,"弱相关",5,"无",0,0))</x:f>
      </x:c>
      <x:c r="R138" s="220" t="str">
        <x:f>IF(COUNTA($A138:$M138)=0,"",SWITCH($I138,"核心",20,"强相关",16,"一般",10,"弱相关",5,"无",0,0))</x:f>
      </x:c>
      <x:c r="S138" s="220" t="str">
        <x:f>IF(COUNTA($A138:$M138)=0,"",SWITCH($J138,"高",15,"中高",12,"中",9,"低",4,"待核验",8,0))</x:f>
      </x:c>
      <x:c r="T138" s="220" t="str">
        <x:f>IF(COUNTA($A138:$M138)=0,"",SUM($O138:$S138))</x:f>
      </x:c>
      <x:c r="U138" s="221" t="str">
        <x:f>IF(COUNTA($A138:$M138)=0,"",IF($N138="","待补base",IF(OR($N138&lt;30,$T138&lt;70),"不投",IF($N138&lt;35,"备选",IF($T138&gt;=85,"优先约聊","备选")))))</x:f>
      </x:c>
      <x:c r="V138" s="195"/>
      <x:c r="W138" s="222"/>
      <x:c r="X138" s="195"/>
      <x:c r="Y138" s="180"/>
    </x:row>
    <x:row r="139" ht="15" hidden="0" customHeight="1">
      <x:c r="A139" s="217"/>
      <x:c r="B139" s="195"/>
      <x:c r="C139" s="195"/>
      <x:c r="D139" s="218"/>
      <x:c r="E139" s="195"/>
      <x:c r="F139" s="195"/>
      <x:c r="G139" s="195"/>
      <x:c r="H139" s="195"/>
      <x:c r="I139" s="195"/>
      <x:c r="J139" s="195"/>
      <x:c r="K139" s="219"/>
      <x:c r="L139" s="195"/>
      <x:c r="M139" s="195"/>
      <x:c r="N139" s="219"/>
      <x:c r="O139" s="220" t="str">
        <x:f>IF(COUNTA($A139:$M139)=0,"",IF($N139="","待补",IF($N139&gt;=40,25,IF($N139&gt;=35,22,IF($N139&gt;=30,10,0)))))</x:f>
      </x:c>
      <x:c r="P139" s="220" t="str">
        <x:f>IF(COUNTA($A139:$M139)=0,"",IF(ISNUMBER($D139),IF($D139&lt;=45,20,IF($D139&lt;=60,14,IF($D139&lt;=75,8,3))),IF(OR(ISNUMBER(SEARCH("兴隆湖",$C139)),ISNUMBER(SEARCH("科学城",$C139))),20,IF(ISNUMBER(SEARCH("天府新区",$C139)),18,IF(OR(ISNUMBER(SEARCH("新川",$C139)),ISNUMBER(SEARCH("天府软件园",$C139)),ISNUMBER(SEARCH("高新南",$C139)),ISNUMBER(SEARCH("金融城",$C139))),12,5)))))</x:f>
      </x:c>
      <x:c r="Q139" s="220" t="str">
        <x:f>IF(COUNTA($A139:$M139)=0,"",SWITCH($H139,"核心",20,"强相关",16,"一般",10,"弱相关",5,"无",0,0))</x:f>
      </x:c>
      <x:c r="R139" s="220" t="str">
        <x:f>IF(COUNTA($A139:$M139)=0,"",SWITCH($I139,"核心",20,"强相关",16,"一般",10,"弱相关",5,"无",0,0))</x:f>
      </x:c>
      <x:c r="S139" s="220" t="str">
        <x:f>IF(COUNTA($A139:$M139)=0,"",SWITCH($J139,"高",15,"中高",12,"中",9,"低",4,"待核验",8,0))</x:f>
      </x:c>
      <x:c r="T139" s="220" t="str">
        <x:f>IF(COUNTA($A139:$M139)=0,"",SUM($O139:$S139))</x:f>
      </x:c>
      <x:c r="U139" s="221" t="str">
        <x:f>IF(COUNTA($A139:$M139)=0,"",IF($N139="","待补base",IF(OR($N139&lt;30,$T139&lt;70),"不投",IF($N139&lt;35,"备选",IF($T139&gt;=85,"优先约聊","备选")))))</x:f>
      </x:c>
      <x:c r="V139" s="195"/>
      <x:c r="W139" s="222"/>
      <x:c r="X139" s="195"/>
      <x:c r="Y139" s="180"/>
    </x:row>
    <x:row r="140" ht="15" hidden="0" customHeight="1">
      <x:c r="A140" s="217"/>
      <x:c r="B140" s="195"/>
      <x:c r="C140" s="195"/>
      <x:c r="D140" s="218"/>
      <x:c r="E140" s="195"/>
      <x:c r="F140" s="195"/>
      <x:c r="G140" s="195"/>
      <x:c r="H140" s="195"/>
      <x:c r="I140" s="195"/>
      <x:c r="J140" s="195"/>
      <x:c r="K140" s="219"/>
      <x:c r="L140" s="195"/>
      <x:c r="M140" s="195"/>
      <x:c r="N140" s="219"/>
      <x:c r="O140" s="220" t="str">
        <x:f>IF(COUNTA($A140:$M140)=0,"",IF($N140="","待补",IF($N140&gt;=40,25,IF($N140&gt;=35,22,IF($N140&gt;=30,10,0)))))</x:f>
      </x:c>
      <x:c r="P140" s="220" t="str">
        <x:f>IF(COUNTA($A140:$M140)=0,"",IF(ISNUMBER($D140),IF($D140&lt;=45,20,IF($D140&lt;=60,14,IF($D140&lt;=75,8,3))),IF(OR(ISNUMBER(SEARCH("兴隆湖",$C140)),ISNUMBER(SEARCH("科学城",$C140))),20,IF(ISNUMBER(SEARCH("天府新区",$C140)),18,IF(OR(ISNUMBER(SEARCH("新川",$C140)),ISNUMBER(SEARCH("天府软件园",$C140)),ISNUMBER(SEARCH("高新南",$C140)),ISNUMBER(SEARCH("金融城",$C140))),12,5)))))</x:f>
      </x:c>
      <x:c r="Q140" s="220" t="str">
        <x:f>IF(COUNTA($A140:$M140)=0,"",SWITCH($H140,"核心",20,"强相关",16,"一般",10,"弱相关",5,"无",0,0))</x:f>
      </x:c>
      <x:c r="R140" s="220" t="str">
        <x:f>IF(COUNTA($A140:$M140)=0,"",SWITCH($I140,"核心",20,"强相关",16,"一般",10,"弱相关",5,"无",0,0))</x:f>
      </x:c>
      <x:c r="S140" s="220" t="str">
        <x:f>IF(COUNTA($A140:$M140)=0,"",SWITCH($J140,"高",15,"中高",12,"中",9,"低",4,"待核验",8,0))</x:f>
      </x:c>
      <x:c r="T140" s="220" t="str">
        <x:f>IF(COUNTA($A140:$M140)=0,"",SUM($O140:$S140))</x:f>
      </x:c>
      <x:c r="U140" s="221" t="str">
        <x:f>IF(COUNTA($A140:$M140)=0,"",IF($N140="","待补base",IF(OR($N140&lt;30,$T140&lt;70),"不投",IF($N140&lt;35,"备选",IF($T140&gt;=85,"优先约聊","备选")))))</x:f>
      </x:c>
      <x:c r="V140" s="195"/>
      <x:c r="W140" s="222"/>
      <x:c r="X140" s="195"/>
      <x:c r="Y140" s="180"/>
    </x:row>
    <x:row r="141" ht="15" hidden="0" customHeight="1">
      <x:c r="A141" s="217"/>
      <x:c r="B141" s="195"/>
      <x:c r="C141" s="195"/>
      <x:c r="D141" s="218"/>
      <x:c r="E141" s="195"/>
      <x:c r="F141" s="195"/>
      <x:c r="G141" s="195"/>
      <x:c r="H141" s="195"/>
      <x:c r="I141" s="195"/>
      <x:c r="J141" s="195"/>
      <x:c r="K141" s="219"/>
      <x:c r="L141" s="195"/>
      <x:c r="M141" s="195"/>
      <x:c r="N141" s="219"/>
      <x:c r="O141" s="220" t="str">
        <x:f>IF(COUNTA($A141:$M141)=0,"",IF($N141="","待补",IF($N141&gt;=40,25,IF($N141&gt;=35,22,IF($N141&gt;=30,10,0)))))</x:f>
      </x:c>
      <x:c r="P141" s="220" t="str">
        <x:f>IF(COUNTA($A141:$M141)=0,"",IF(ISNUMBER($D141),IF($D141&lt;=45,20,IF($D141&lt;=60,14,IF($D141&lt;=75,8,3))),IF(OR(ISNUMBER(SEARCH("兴隆湖",$C141)),ISNUMBER(SEARCH("科学城",$C141))),20,IF(ISNUMBER(SEARCH("天府新区",$C141)),18,IF(OR(ISNUMBER(SEARCH("新川",$C141)),ISNUMBER(SEARCH("天府软件园",$C141)),ISNUMBER(SEARCH("高新南",$C141)),ISNUMBER(SEARCH("金融城",$C141))),12,5)))))</x:f>
      </x:c>
      <x:c r="Q141" s="220" t="str">
        <x:f>IF(COUNTA($A141:$M141)=0,"",SWITCH($H141,"核心",20,"强相关",16,"一般",10,"弱相关",5,"无",0,0))</x:f>
      </x:c>
      <x:c r="R141" s="220" t="str">
        <x:f>IF(COUNTA($A141:$M141)=0,"",SWITCH($I141,"核心",20,"强相关",16,"一般",10,"弱相关",5,"无",0,0))</x:f>
      </x:c>
      <x:c r="S141" s="220" t="str">
        <x:f>IF(COUNTA($A141:$M141)=0,"",SWITCH($J141,"高",15,"中高",12,"中",9,"低",4,"待核验",8,0))</x:f>
      </x:c>
      <x:c r="T141" s="220" t="str">
        <x:f>IF(COUNTA($A141:$M141)=0,"",SUM($O141:$S141))</x:f>
      </x:c>
      <x:c r="U141" s="221" t="str">
        <x:f>IF(COUNTA($A141:$M141)=0,"",IF($N141="","待补base",IF(OR($N141&lt;30,$T141&lt;70),"不投",IF($N141&lt;35,"备选",IF($T141&gt;=85,"优先约聊","备选")))))</x:f>
      </x:c>
      <x:c r="V141" s="195"/>
      <x:c r="W141" s="222"/>
      <x:c r="X141" s="195"/>
      <x:c r="Y141" s="180"/>
    </x:row>
    <x:row r="142" ht="15" hidden="0" customHeight="1">
      <x:c r="A142" s="217"/>
      <x:c r="B142" s="195"/>
      <x:c r="C142" s="195"/>
      <x:c r="D142" s="218"/>
      <x:c r="E142" s="195"/>
      <x:c r="F142" s="195"/>
      <x:c r="G142" s="195"/>
      <x:c r="H142" s="195"/>
      <x:c r="I142" s="195"/>
      <x:c r="J142" s="195"/>
      <x:c r="K142" s="219"/>
      <x:c r="L142" s="195"/>
      <x:c r="M142" s="195"/>
      <x:c r="N142" s="219"/>
      <x:c r="O142" s="220" t="str">
        <x:f>IF(COUNTA($A142:$M142)=0,"",IF($N142="","待补",IF($N142&gt;=40,25,IF($N142&gt;=35,22,IF($N142&gt;=30,10,0)))))</x:f>
      </x:c>
      <x:c r="P142" s="220" t="str">
        <x:f>IF(COUNTA($A142:$M142)=0,"",IF(ISNUMBER($D142),IF($D142&lt;=45,20,IF($D142&lt;=60,14,IF($D142&lt;=75,8,3))),IF(OR(ISNUMBER(SEARCH("兴隆湖",$C142)),ISNUMBER(SEARCH("科学城",$C142))),20,IF(ISNUMBER(SEARCH("天府新区",$C142)),18,IF(OR(ISNUMBER(SEARCH("新川",$C142)),ISNUMBER(SEARCH("天府软件园",$C142)),ISNUMBER(SEARCH("高新南",$C142)),ISNUMBER(SEARCH("金融城",$C142))),12,5)))))</x:f>
      </x:c>
      <x:c r="Q142" s="220" t="str">
        <x:f>IF(COUNTA($A142:$M142)=0,"",SWITCH($H142,"核心",20,"强相关",16,"一般",10,"弱相关",5,"无",0,0))</x:f>
      </x:c>
      <x:c r="R142" s="220" t="str">
        <x:f>IF(COUNTA($A142:$M142)=0,"",SWITCH($I142,"核心",20,"强相关",16,"一般",10,"弱相关",5,"无",0,0))</x:f>
      </x:c>
      <x:c r="S142" s="220" t="str">
        <x:f>IF(COUNTA($A142:$M142)=0,"",SWITCH($J142,"高",15,"中高",12,"中",9,"低",4,"待核验",8,0))</x:f>
      </x:c>
      <x:c r="T142" s="220" t="str">
        <x:f>IF(COUNTA($A142:$M142)=0,"",SUM($O142:$S142))</x:f>
      </x:c>
      <x:c r="U142" s="221" t="str">
        <x:f>IF(COUNTA($A142:$M142)=0,"",IF($N142="","待补base",IF(OR($N142&lt;30,$T142&lt;70),"不投",IF($N142&lt;35,"备选",IF($T142&gt;=85,"优先约聊","备选")))))</x:f>
      </x:c>
      <x:c r="V142" s="195"/>
      <x:c r="W142" s="222"/>
      <x:c r="X142" s="195"/>
      <x:c r="Y142" s="180"/>
    </x:row>
    <x:row r="143" ht="15" hidden="0" customHeight="1">
      <x:c r="A143" s="217"/>
      <x:c r="B143" s="195"/>
      <x:c r="C143" s="195"/>
      <x:c r="D143" s="218"/>
      <x:c r="E143" s="195"/>
      <x:c r="F143" s="195"/>
      <x:c r="G143" s="195"/>
      <x:c r="H143" s="195"/>
      <x:c r="I143" s="195"/>
      <x:c r="J143" s="195"/>
      <x:c r="K143" s="219"/>
      <x:c r="L143" s="195"/>
      <x:c r="M143" s="195"/>
      <x:c r="N143" s="219"/>
      <x:c r="O143" s="220" t="str">
        <x:f>IF(COUNTA($A143:$M143)=0,"",IF($N143="","待补",IF($N143&gt;=40,25,IF($N143&gt;=35,22,IF($N143&gt;=30,10,0)))))</x:f>
      </x:c>
      <x:c r="P143" s="220" t="str">
        <x:f>IF(COUNTA($A143:$M143)=0,"",IF(ISNUMBER($D143),IF($D143&lt;=45,20,IF($D143&lt;=60,14,IF($D143&lt;=75,8,3))),IF(OR(ISNUMBER(SEARCH("兴隆湖",$C143)),ISNUMBER(SEARCH("科学城",$C143))),20,IF(ISNUMBER(SEARCH("天府新区",$C143)),18,IF(OR(ISNUMBER(SEARCH("新川",$C143)),ISNUMBER(SEARCH("天府软件园",$C143)),ISNUMBER(SEARCH("高新南",$C143)),ISNUMBER(SEARCH("金融城",$C143))),12,5)))))</x:f>
      </x:c>
      <x:c r="Q143" s="220" t="str">
        <x:f>IF(COUNTA($A143:$M143)=0,"",SWITCH($H143,"核心",20,"强相关",16,"一般",10,"弱相关",5,"无",0,0))</x:f>
      </x:c>
      <x:c r="R143" s="220" t="str">
        <x:f>IF(COUNTA($A143:$M143)=0,"",SWITCH($I143,"核心",20,"强相关",16,"一般",10,"弱相关",5,"无",0,0))</x:f>
      </x:c>
      <x:c r="S143" s="220" t="str">
        <x:f>IF(COUNTA($A143:$M143)=0,"",SWITCH($J143,"高",15,"中高",12,"中",9,"低",4,"待核验",8,0))</x:f>
      </x:c>
      <x:c r="T143" s="220" t="str">
        <x:f>IF(COUNTA($A143:$M143)=0,"",SUM($O143:$S143))</x:f>
      </x:c>
      <x:c r="U143" s="221" t="str">
        <x:f>IF(COUNTA($A143:$M143)=0,"",IF($N143="","待补base",IF(OR($N143&lt;30,$T143&lt;70),"不投",IF($N143&lt;35,"备选",IF($T143&gt;=85,"优先约聊","备选")))))</x:f>
      </x:c>
      <x:c r="V143" s="195"/>
      <x:c r="W143" s="222"/>
      <x:c r="X143" s="195"/>
      <x:c r="Y143" s="180"/>
    </x:row>
    <x:row r="144" ht="15" hidden="0" customHeight="1">
      <x:c r="A144" s="217"/>
      <x:c r="B144" s="195"/>
      <x:c r="C144" s="195"/>
      <x:c r="D144" s="218"/>
      <x:c r="E144" s="195"/>
      <x:c r="F144" s="195"/>
      <x:c r="G144" s="195"/>
      <x:c r="H144" s="195"/>
      <x:c r="I144" s="195"/>
      <x:c r="J144" s="195"/>
      <x:c r="K144" s="219"/>
      <x:c r="L144" s="195"/>
      <x:c r="M144" s="195"/>
      <x:c r="N144" s="219"/>
      <x:c r="O144" s="220" t="str">
        <x:f>IF(COUNTA($A144:$M144)=0,"",IF($N144="","待补",IF($N144&gt;=40,25,IF($N144&gt;=35,22,IF($N144&gt;=30,10,0)))))</x:f>
      </x:c>
      <x:c r="P144" s="220" t="str">
        <x:f>IF(COUNTA($A144:$M144)=0,"",IF(ISNUMBER($D144),IF($D144&lt;=45,20,IF($D144&lt;=60,14,IF($D144&lt;=75,8,3))),IF(OR(ISNUMBER(SEARCH("兴隆湖",$C144)),ISNUMBER(SEARCH("科学城",$C144))),20,IF(ISNUMBER(SEARCH("天府新区",$C144)),18,IF(OR(ISNUMBER(SEARCH("新川",$C144)),ISNUMBER(SEARCH("天府软件园",$C144)),ISNUMBER(SEARCH("高新南",$C144)),ISNUMBER(SEARCH("金融城",$C144))),12,5)))))</x:f>
      </x:c>
      <x:c r="Q144" s="220" t="str">
        <x:f>IF(COUNTA($A144:$M144)=0,"",SWITCH($H144,"核心",20,"强相关",16,"一般",10,"弱相关",5,"无",0,0))</x:f>
      </x:c>
      <x:c r="R144" s="220" t="str">
        <x:f>IF(COUNTA($A144:$M144)=0,"",SWITCH($I144,"核心",20,"强相关",16,"一般",10,"弱相关",5,"无",0,0))</x:f>
      </x:c>
      <x:c r="S144" s="220" t="str">
        <x:f>IF(COUNTA($A144:$M144)=0,"",SWITCH($J144,"高",15,"中高",12,"中",9,"低",4,"待核验",8,0))</x:f>
      </x:c>
      <x:c r="T144" s="220" t="str">
        <x:f>IF(COUNTA($A144:$M144)=0,"",SUM($O144:$S144))</x:f>
      </x:c>
      <x:c r="U144" s="221" t="str">
        <x:f>IF(COUNTA($A144:$M144)=0,"",IF($N144="","待补base",IF(OR($N144&lt;30,$T144&lt;70),"不投",IF($N144&lt;35,"备选",IF($T144&gt;=85,"优先约聊","备选")))))</x:f>
      </x:c>
      <x:c r="V144" s="195"/>
      <x:c r="W144" s="222"/>
      <x:c r="X144" s="195"/>
      <x:c r="Y144" s="180"/>
    </x:row>
    <x:row r="145" ht="15" hidden="0" customHeight="1">
      <x:c r="A145" s="217"/>
      <x:c r="B145" s="195"/>
      <x:c r="C145" s="195"/>
      <x:c r="D145" s="218"/>
      <x:c r="E145" s="195"/>
      <x:c r="F145" s="195"/>
      <x:c r="G145" s="195"/>
      <x:c r="H145" s="195"/>
      <x:c r="I145" s="195"/>
      <x:c r="J145" s="195"/>
      <x:c r="K145" s="219"/>
      <x:c r="L145" s="195"/>
      <x:c r="M145" s="195"/>
      <x:c r="N145" s="219"/>
      <x:c r="O145" s="220" t="str">
        <x:f>IF(COUNTA($A145:$M145)=0,"",IF($N145="","待补",IF($N145&gt;=40,25,IF($N145&gt;=35,22,IF($N145&gt;=30,10,0)))))</x:f>
      </x:c>
      <x:c r="P145" s="220" t="str">
        <x:f>IF(COUNTA($A145:$M145)=0,"",IF(ISNUMBER($D145),IF($D145&lt;=45,20,IF($D145&lt;=60,14,IF($D145&lt;=75,8,3))),IF(OR(ISNUMBER(SEARCH("兴隆湖",$C145)),ISNUMBER(SEARCH("科学城",$C145))),20,IF(ISNUMBER(SEARCH("天府新区",$C145)),18,IF(OR(ISNUMBER(SEARCH("新川",$C145)),ISNUMBER(SEARCH("天府软件园",$C145)),ISNUMBER(SEARCH("高新南",$C145)),ISNUMBER(SEARCH("金融城",$C145))),12,5)))))</x:f>
      </x:c>
      <x:c r="Q145" s="220" t="str">
        <x:f>IF(COUNTA($A145:$M145)=0,"",SWITCH($H145,"核心",20,"强相关",16,"一般",10,"弱相关",5,"无",0,0))</x:f>
      </x:c>
      <x:c r="R145" s="220" t="str">
        <x:f>IF(COUNTA($A145:$M145)=0,"",SWITCH($I145,"核心",20,"强相关",16,"一般",10,"弱相关",5,"无",0,0))</x:f>
      </x:c>
      <x:c r="S145" s="220" t="str">
        <x:f>IF(COUNTA($A145:$M145)=0,"",SWITCH($J145,"高",15,"中高",12,"中",9,"低",4,"待核验",8,0))</x:f>
      </x:c>
      <x:c r="T145" s="220" t="str">
        <x:f>IF(COUNTA($A145:$M145)=0,"",SUM($O145:$S145))</x:f>
      </x:c>
      <x:c r="U145" s="221" t="str">
        <x:f>IF(COUNTA($A145:$M145)=0,"",IF($N145="","待补base",IF(OR($N145&lt;30,$T145&lt;70),"不投",IF($N145&lt;35,"备选",IF($T145&gt;=85,"优先约聊","备选")))))</x:f>
      </x:c>
      <x:c r="V145" s="195"/>
      <x:c r="W145" s="222"/>
      <x:c r="X145" s="195"/>
      <x:c r="Y145" s="180"/>
    </x:row>
    <x:row r="146" ht="15" hidden="0" customHeight="1">
      <x:c r="A146" s="217"/>
      <x:c r="B146" s="195"/>
      <x:c r="C146" s="195"/>
      <x:c r="D146" s="218"/>
      <x:c r="E146" s="195"/>
      <x:c r="F146" s="195"/>
      <x:c r="G146" s="195"/>
      <x:c r="H146" s="195"/>
      <x:c r="I146" s="195"/>
      <x:c r="J146" s="195"/>
      <x:c r="K146" s="219"/>
      <x:c r="L146" s="195"/>
      <x:c r="M146" s="195"/>
      <x:c r="N146" s="219"/>
      <x:c r="O146" s="220" t="str">
        <x:f>IF(COUNTA($A146:$M146)=0,"",IF($N146="","待补",IF($N146&gt;=40,25,IF($N146&gt;=35,22,IF($N146&gt;=30,10,0)))))</x:f>
      </x:c>
      <x:c r="P146" s="220" t="str">
        <x:f>IF(COUNTA($A146:$M146)=0,"",IF(ISNUMBER($D146),IF($D146&lt;=45,20,IF($D146&lt;=60,14,IF($D146&lt;=75,8,3))),IF(OR(ISNUMBER(SEARCH("兴隆湖",$C146)),ISNUMBER(SEARCH("科学城",$C146))),20,IF(ISNUMBER(SEARCH("天府新区",$C146)),18,IF(OR(ISNUMBER(SEARCH("新川",$C146)),ISNUMBER(SEARCH("天府软件园",$C146)),ISNUMBER(SEARCH("高新南",$C146)),ISNUMBER(SEARCH("金融城",$C146))),12,5)))))</x:f>
      </x:c>
      <x:c r="Q146" s="220" t="str">
        <x:f>IF(COUNTA($A146:$M146)=0,"",SWITCH($H146,"核心",20,"强相关",16,"一般",10,"弱相关",5,"无",0,0))</x:f>
      </x:c>
      <x:c r="R146" s="220" t="str">
        <x:f>IF(COUNTA($A146:$M146)=0,"",SWITCH($I146,"核心",20,"强相关",16,"一般",10,"弱相关",5,"无",0,0))</x:f>
      </x:c>
      <x:c r="S146" s="220" t="str">
        <x:f>IF(COUNTA($A146:$M146)=0,"",SWITCH($J146,"高",15,"中高",12,"中",9,"低",4,"待核验",8,0))</x:f>
      </x:c>
      <x:c r="T146" s="220" t="str">
        <x:f>IF(COUNTA($A146:$M146)=0,"",SUM($O146:$S146))</x:f>
      </x:c>
      <x:c r="U146" s="221" t="str">
        <x:f>IF(COUNTA($A146:$M146)=0,"",IF($N146="","待补base",IF(OR($N146&lt;30,$T146&lt;70),"不投",IF($N146&lt;35,"备选",IF($T146&gt;=85,"优先约聊","备选")))))</x:f>
      </x:c>
      <x:c r="V146" s="195"/>
      <x:c r="W146" s="222"/>
      <x:c r="X146" s="195"/>
      <x:c r="Y146" s="180"/>
    </x:row>
    <x:row r="147" ht="15" hidden="0" customHeight="1">
      <x:c r="A147" s="217"/>
      <x:c r="B147" s="195"/>
      <x:c r="C147" s="195"/>
      <x:c r="D147" s="218"/>
      <x:c r="E147" s="195"/>
      <x:c r="F147" s="195"/>
      <x:c r="G147" s="195"/>
      <x:c r="H147" s="195"/>
      <x:c r="I147" s="195"/>
      <x:c r="J147" s="195"/>
      <x:c r="K147" s="219"/>
      <x:c r="L147" s="195"/>
      <x:c r="M147" s="195"/>
      <x:c r="N147" s="219"/>
      <x:c r="O147" s="220" t="str">
        <x:f>IF(COUNTA($A147:$M147)=0,"",IF($N147="","待补",IF($N147&gt;=40,25,IF($N147&gt;=35,22,IF($N147&gt;=30,10,0)))))</x:f>
      </x:c>
      <x:c r="P147" s="220" t="str">
        <x:f>IF(COUNTA($A147:$M147)=0,"",IF(ISNUMBER($D147),IF($D147&lt;=45,20,IF($D147&lt;=60,14,IF($D147&lt;=75,8,3))),IF(OR(ISNUMBER(SEARCH("兴隆湖",$C147)),ISNUMBER(SEARCH("科学城",$C147))),20,IF(ISNUMBER(SEARCH("天府新区",$C147)),18,IF(OR(ISNUMBER(SEARCH("新川",$C147)),ISNUMBER(SEARCH("天府软件园",$C147)),ISNUMBER(SEARCH("高新南",$C147)),ISNUMBER(SEARCH("金融城",$C147))),12,5)))))</x:f>
      </x:c>
      <x:c r="Q147" s="220" t="str">
        <x:f>IF(COUNTA($A147:$M147)=0,"",SWITCH($H147,"核心",20,"强相关",16,"一般",10,"弱相关",5,"无",0,0))</x:f>
      </x:c>
      <x:c r="R147" s="220" t="str">
        <x:f>IF(COUNTA($A147:$M147)=0,"",SWITCH($I147,"核心",20,"强相关",16,"一般",10,"弱相关",5,"无",0,0))</x:f>
      </x:c>
      <x:c r="S147" s="220" t="str">
        <x:f>IF(COUNTA($A147:$M147)=0,"",SWITCH($J147,"高",15,"中高",12,"中",9,"低",4,"待核验",8,0))</x:f>
      </x:c>
      <x:c r="T147" s="220" t="str">
        <x:f>IF(COUNTA($A147:$M147)=0,"",SUM($O147:$S147))</x:f>
      </x:c>
      <x:c r="U147" s="221" t="str">
        <x:f>IF(COUNTA($A147:$M147)=0,"",IF($N147="","待补base",IF(OR($N147&lt;30,$T147&lt;70),"不投",IF($N147&lt;35,"备选",IF($T147&gt;=85,"优先约聊","备选")))))</x:f>
      </x:c>
      <x:c r="V147" s="195"/>
      <x:c r="W147" s="222"/>
      <x:c r="X147" s="195"/>
      <x:c r="Y147" s="180"/>
    </x:row>
    <x:row r="148" ht="15" hidden="0" customHeight="1">
      <x:c r="A148" s="217"/>
      <x:c r="B148" s="195"/>
      <x:c r="C148" s="195"/>
      <x:c r="D148" s="218"/>
      <x:c r="E148" s="195"/>
      <x:c r="F148" s="195"/>
      <x:c r="G148" s="195"/>
      <x:c r="H148" s="195"/>
      <x:c r="I148" s="195"/>
      <x:c r="J148" s="195"/>
      <x:c r="K148" s="219"/>
      <x:c r="L148" s="195"/>
      <x:c r="M148" s="195"/>
      <x:c r="N148" s="219"/>
      <x:c r="O148" s="220" t="str">
        <x:f>IF(COUNTA($A148:$M148)=0,"",IF($N148="","待补",IF($N148&gt;=40,25,IF($N148&gt;=35,22,IF($N148&gt;=30,10,0)))))</x:f>
      </x:c>
      <x:c r="P148" s="220" t="str">
        <x:f>IF(COUNTA($A148:$M148)=0,"",IF(ISNUMBER($D148),IF($D148&lt;=45,20,IF($D148&lt;=60,14,IF($D148&lt;=75,8,3))),IF(OR(ISNUMBER(SEARCH("兴隆湖",$C148)),ISNUMBER(SEARCH("科学城",$C148))),20,IF(ISNUMBER(SEARCH("天府新区",$C148)),18,IF(OR(ISNUMBER(SEARCH("新川",$C148)),ISNUMBER(SEARCH("天府软件园",$C148)),ISNUMBER(SEARCH("高新南",$C148)),ISNUMBER(SEARCH("金融城",$C148))),12,5)))))</x:f>
      </x:c>
      <x:c r="Q148" s="220" t="str">
        <x:f>IF(COUNTA($A148:$M148)=0,"",SWITCH($H148,"核心",20,"强相关",16,"一般",10,"弱相关",5,"无",0,0))</x:f>
      </x:c>
      <x:c r="R148" s="220" t="str">
        <x:f>IF(COUNTA($A148:$M148)=0,"",SWITCH($I148,"核心",20,"强相关",16,"一般",10,"弱相关",5,"无",0,0))</x:f>
      </x:c>
      <x:c r="S148" s="220" t="str">
        <x:f>IF(COUNTA($A148:$M148)=0,"",SWITCH($J148,"高",15,"中高",12,"中",9,"低",4,"待核验",8,0))</x:f>
      </x:c>
      <x:c r="T148" s="220" t="str">
        <x:f>IF(COUNTA($A148:$M148)=0,"",SUM($O148:$S148))</x:f>
      </x:c>
      <x:c r="U148" s="221" t="str">
        <x:f>IF(COUNTA($A148:$M148)=0,"",IF($N148="","待补base",IF(OR($N148&lt;30,$T148&lt;70),"不投",IF($N148&lt;35,"备选",IF($T148&gt;=85,"优先约聊","备选")))))</x:f>
      </x:c>
      <x:c r="V148" s="195"/>
      <x:c r="W148" s="222"/>
      <x:c r="X148" s="195"/>
      <x:c r="Y148" s="180"/>
    </x:row>
    <x:row r="149" ht="15" hidden="0" customHeight="1">
      <x:c r="A149" s="217"/>
      <x:c r="B149" s="195"/>
      <x:c r="C149" s="195"/>
      <x:c r="D149" s="218"/>
      <x:c r="E149" s="195"/>
      <x:c r="F149" s="195"/>
      <x:c r="G149" s="195"/>
      <x:c r="H149" s="195"/>
      <x:c r="I149" s="195"/>
      <x:c r="J149" s="195"/>
      <x:c r="K149" s="219"/>
      <x:c r="L149" s="195"/>
      <x:c r="M149" s="195"/>
      <x:c r="N149" s="219"/>
      <x:c r="O149" s="220" t="str">
        <x:f>IF(COUNTA($A149:$M149)=0,"",IF($N149="","待补",IF($N149&gt;=40,25,IF($N149&gt;=35,22,IF($N149&gt;=30,10,0)))))</x:f>
      </x:c>
      <x:c r="P149" s="220" t="str">
        <x:f>IF(COUNTA($A149:$M149)=0,"",IF(ISNUMBER($D149),IF($D149&lt;=45,20,IF($D149&lt;=60,14,IF($D149&lt;=75,8,3))),IF(OR(ISNUMBER(SEARCH("兴隆湖",$C149)),ISNUMBER(SEARCH("科学城",$C149))),20,IF(ISNUMBER(SEARCH("天府新区",$C149)),18,IF(OR(ISNUMBER(SEARCH("新川",$C149)),ISNUMBER(SEARCH("天府软件园",$C149)),ISNUMBER(SEARCH("高新南",$C149)),ISNUMBER(SEARCH("金融城",$C149))),12,5)))))</x:f>
      </x:c>
      <x:c r="Q149" s="220" t="str">
        <x:f>IF(COUNTA($A149:$M149)=0,"",SWITCH($H149,"核心",20,"强相关",16,"一般",10,"弱相关",5,"无",0,0))</x:f>
      </x:c>
      <x:c r="R149" s="220" t="str">
        <x:f>IF(COUNTA($A149:$M149)=0,"",SWITCH($I149,"核心",20,"强相关",16,"一般",10,"弱相关",5,"无",0,0))</x:f>
      </x:c>
      <x:c r="S149" s="220" t="str">
        <x:f>IF(COUNTA($A149:$M149)=0,"",SWITCH($J149,"高",15,"中高",12,"中",9,"低",4,"待核验",8,0))</x:f>
      </x:c>
      <x:c r="T149" s="220" t="str">
        <x:f>IF(COUNTA($A149:$M149)=0,"",SUM($O149:$S149))</x:f>
      </x:c>
      <x:c r="U149" s="221" t="str">
        <x:f>IF(COUNTA($A149:$M149)=0,"",IF($N149="","待补base",IF(OR($N149&lt;30,$T149&lt;70),"不投",IF($N149&lt;35,"备选",IF($T149&gt;=85,"优先约聊","备选")))))</x:f>
      </x:c>
      <x:c r="V149" s="195"/>
      <x:c r="W149" s="222"/>
      <x:c r="X149" s="195"/>
      <x:c r="Y149" s="180"/>
    </x:row>
    <x:row r="150" ht="15" hidden="0" customHeight="1">
      <x:c r="A150" s="217"/>
      <x:c r="B150" s="195"/>
      <x:c r="C150" s="195"/>
      <x:c r="D150" s="218"/>
      <x:c r="E150" s="195"/>
      <x:c r="F150" s="195"/>
      <x:c r="G150" s="195"/>
      <x:c r="H150" s="195"/>
      <x:c r="I150" s="195"/>
      <x:c r="J150" s="195"/>
      <x:c r="K150" s="219"/>
      <x:c r="L150" s="195"/>
      <x:c r="M150" s="195"/>
      <x:c r="N150" s="219"/>
      <x:c r="O150" s="220" t="str">
        <x:f>IF(COUNTA($A150:$M150)=0,"",IF($N150="","待补",IF($N150&gt;=40,25,IF($N150&gt;=35,22,IF($N150&gt;=30,10,0)))))</x:f>
      </x:c>
      <x:c r="P150" s="220" t="str">
        <x:f>IF(COUNTA($A150:$M150)=0,"",IF(ISNUMBER($D150),IF($D150&lt;=45,20,IF($D150&lt;=60,14,IF($D150&lt;=75,8,3))),IF(OR(ISNUMBER(SEARCH("兴隆湖",$C150)),ISNUMBER(SEARCH("科学城",$C150))),20,IF(ISNUMBER(SEARCH("天府新区",$C150)),18,IF(OR(ISNUMBER(SEARCH("新川",$C150)),ISNUMBER(SEARCH("天府软件园",$C150)),ISNUMBER(SEARCH("高新南",$C150)),ISNUMBER(SEARCH("金融城",$C150))),12,5)))))</x:f>
      </x:c>
      <x:c r="Q150" s="220" t="str">
        <x:f>IF(COUNTA($A150:$M150)=0,"",SWITCH($H150,"核心",20,"强相关",16,"一般",10,"弱相关",5,"无",0,0))</x:f>
      </x:c>
      <x:c r="R150" s="220" t="str">
        <x:f>IF(COUNTA($A150:$M150)=0,"",SWITCH($I150,"核心",20,"强相关",16,"一般",10,"弱相关",5,"无",0,0))</x:f>
      </x:c>
      <x:c r="S150" s="220" t="str">
        <x:f>IF(COUNTA($A150:$M150)=0,"",SWITCH($J150,"高",15,"中高",12,"中",9,"低",4,"待核验",8,0))</x:f>
      </x:c>
      <x:c r="T150" s="220" t="str">
        <x:f>IF(COUNTA($A150:$M150)=0,"",SUM($O150:$S150))</x:f>
      </x:c>
      <x:c r="U150" s="221" t="str">
        <x:f>IF(COUNTA($A150:$M150)=0,"",IF($N150="","待补base",IF(OR($N150&lt;30,$T150&lt;70),"不投",IF($N150&lt;35,"备选",IF($T150&gt;=85,"优先约聊","备选")))))</x:f>
      </x:c>
      <x:c r="V150" s="195"/>
      <x:c r="W150" s="222"/>
      <x:c r="X150" s="195"/>
      <x:c r="Y150" s="180"/>
    </x:row>
    <x:row r="151" ht="15" hidden="0" customHeight="1">
      <x:c r="A151" s="217"/>
      <x:c r="B151" s="195"/>
      <x:c r="C151" s="195"/>
      <x:c r="D151" s="218"/>
      <x:c r="E151" s="195"/>
      <x:c r="F151" s="195"/>
      <x:c r="G151" s="195"/>
      <x:c r="H151" s="195"/>
      <x:c r="I151" s="195"/>
      <x:c r="J151" s="195"/>
      <x:c r="K151" s="219"/>
      <x:c r="L151" s="195"/>
      <x:c r="M151" s="195"/>
      <x:c r="N151" s="219"/>
      <x:c r="O151" s="220" t="str">
        <x:f>IF(COUNTA($A151:$M151)=0,"",IF($N151="","待补",IF($N151&gt;=40,25,IF($N151&gt;=35,22,IF($N151&gt;=30,10,0)))))</x:f>
      </x:c>
      <x:c r="P151" s="220" t="str">
        <x:f>IF(COUNTA($A151:$M151)=0,"",IF(ISNUMBER($D151),IF($D151&lt;=45,20,IF($D151&lt;=60,14,IF($D151&lt;=75,8,3))),IF(OR(ISNUMBER(SEARCH("兴隆湖",$C151)),ISNUMBER(SEARCH("科学城",$C151))),20,IF(ISNUMBER(SEARCH("天府新区",$C151)),18,IF(OR(ISNUMBER(SEARCH("新川",$C151)),ISNUMBER(SEARCH("天府软件园",$C151)),ISNUMBER(SEARCH("高新南",$C151)),ISNUMBER(SEARCH("金融城",$C151))),12,5)))))</x:f>
      </x:c>
      <x:c r="Q151" s="220" t="str">
        <x:f>IF(COUNTA($A151:$M151)=0,"",SWITCH($H151,"核心",20,"强相关",16,"一般",10,"弱相关",5,"无",0,0))</x:f>
      </x:c>
      <x:c r="R151" s="220" t="str">
        <x:f>IF(COUNTA($A151:$M151)=0,"",SWITCH($I151,"核心",20,"强相关",16,"一般",10,"弱相关",5,"无",0,0))</x:f>
      </x:c>
      <x:c r="S151" s="220" t="str">
        <x:f>IF(COUNTA($A151:$M151)=0,"",SWITCH($J151,"高",15,"中高",12,"中",9,"低",4,"待核验",8,0))</x:f>
      </x:c>
      <x:c r="T151" s="220" t="str">
        <x:f>IF(COUNTA($A151:$M151)=0,"",SUM($O151:$S151))</x:f>
      </x:c>
      <x:c r="U151" s="221" t="str">
        <x:f>IF(COUNTA($A151:$M151)=0,"",IF($N151="","待补base",IF(OR($N151&lt;30,$T151&lt;70),"不投",IF($N151&lt;35,"备选",IF($T151&gt;=85,"优先约聊","备选")))))</x:f>
      </x:c>
      <x:c r="V151" s="195"/>
      <x:c r="W151" s="222"/>
      <x:c r="X151" s="195"/>
      <x:c r="Y151" s="180"/>
    </x:row>
    <x:row r="152" ht="15" hidden="0" customHeight="1">
      <x:c r="A152" s="217"/>
      <x:c r="B152" s="195"/>
      <x:c r="C152" s="195"/>
      <x:c r="D152" s="218"/>
      <x:c r="E152" s="195"/>
      <x:c r="F152" s="195"/>
      <x:c r="G152" s="195"/>
      <x:c r="H152" s="195"/>
      <x:c r="I152" s="195"/>
      <x:c r="J152" s="195"/>
      <x:c r="K152" s="219"/>
      <x:c r="L152" s="195"/>
      <x:c r="M152" s="195"/>
      <x:c r="N152" s="219"/>
      <x:c r="O152" s="220" t="str">
        <x:f>IF(COUNTA($A152:$M152)=0,"",IF($N152="","待补",IF($N152&gt;=40,25,IF($N152&gt;=35,22,IF($N152&gt;=30,10,0)))))</x:f>
      </x:c>
      <x:c r="P152" s="220" t="str">
        <x:f>IF(COUNTA($A152:$M152)=0,"",IF(ISNUMBER($D152),IF($D152&lt;=45,20,IF($D152&lt;=60,14,IF($D152&lt;=75,8,3))),IF(OR(ISNUMBER(SEARCH("兴隆湖",$C152)),ISNUMBER(SEARCH("科学城",$C152))),20,IF(ISNUMBER(SEARCH("天府新区",$C152)),18,IF(OR(ISNUMBER(SEARCH("新川",$C152)),ISNUMBER(SEARCH("天府软件园",$C152)),ISNUMBER(SEARCH("高新南",$C152)),ISNUMBER(SEARCH("金融城",$C152))),12,5)))))</x:f>
      </x:c>
      <x:c r="Q152" s="220" t="str">
        <x:f>IF(COUNTA($A152:$M152)=0,"",SWITCH($H152,"核心",20,"强相关",16,"一般",10,"弱相关",5,"无",0,0))</x:f>
      </x:c>
      <x:c r="R152" s="220" t="str">
        <x:f>IF(COUNTA($A152:$M152)=0,"",SWITCH($I152,"核心",20,"强相关",16,"一般",10,"弱相关",5,"无",0,0))</x:f>
      </x:c>
      <x:c r="S152" s="220" t="str">
        <x:f>IF(COUNTA($A152:$M152)=0,"",SWITCH($J152,"高",15,"中高",12,"中",9,"低",4,"待核验",8,0))</x:f>
      </x:c>
      <x:c r="T152" s="220" t="str">
        <x:f>IF(COUNTA($A152:$M152)=0,"",SUM($O152:$S152))</x:f>
      </x:c>
      <x:c r="U152" s="221" t="str">
        <x:f>IF(COUNTA($A152:$M152)=0,"",IF($N152="","待补base",IF(OR($N152&lt;30,$T152&lt;70),"不投",IF($N152&lt;35,"备选",IF($T152&gt;=85,"优先约聊","备选")))))</x:f>
      </x:c>
      <x:c r="V152" s="195"/>
      <x:c r="W152" s="222"/>
      <x:c r="X152" s="195"/>
      <x:c r="Y152" s="180"/>
    </x:row>
    <x:row r="153" ht="15" hidden="0" customHeight="1">
      <x:c r="A153" s="217"/>
      <x:c r="B153" s="195"/>
      <x:c r="C153" s="195"/>
      <x:c r="D153" s="218"/>
      <x:c r="E153" s="195"/>
      <x:c r="F153" s="195"/>
      <x:c r="G153" s="195"/>
      <x:c r="H153" s="195"/>
      <x:c r="I153" s="195"/>
      <x:c r="J153" s="195"/>
      <x:c r="K153" s="219"/>
      <x:c r="L153" s="195"/>
      <x:c r="M153" s="195"/>
      <x:c r="N153" s="219"/>
      <x:c r="O153" s="220" t="str">
        <x:f>IF(COUNTA($A153:$M153)=0,"",IF($N153="","待补",IF($N153&gt;=40,25,IF($N153&gt;=35,22,IF($N153&gt;=30,10,0)))))</x:f>
      </x:c>
      <x:c r="P153" s="220" t="str">
        <x:f>IF(COUNTA($A153:$M153)=0,"",IF(ISNUMBER($D153),IF($D153&lt;=45,20,IF($D153&lt;=60,14,IF($D153&lt;=75,8,3))),IF(OR(ISNUMBER(SEARCH("兴隆湖",$C153)),ISNUMBER(SEARCH("科学城",$C153))),20,IF(ISNUMBER(SEARCH("天府新区",$C153)),18,IF(OR(ISNUMBER(SEARCH("新川",$C153)),ISNUMBER(SEARCH("天府软件园",$C153)),ISNUMBER(SEARCH("高新南",$C153)),ISNUMBER(SEARCH("金融城",$C153))),12,5)))))</x:f>
      </x:c>
      <x:c r="Q153" s="220" t="str">
        <x:f>IF(COUNTA($A153:$M153)=0,"",SWITCH($H153,"核心",20,"强相关",16,"一般",10,"弱相关",5,"无",0,0))</x:f>
      </x:c>
      <x:c r="R153" s="220" t="str">
        <x:f>IF(COUNTA($A153:$M153)=0,"",SWITCH($I153,"核心",20,"强相关",16,"一般",10,"弱相关",5,"无",0,0))</x:f>
      </x:c>
      <x:c r="S153" s="220" t="str">
        <x:f>IF(COUNTA($A153:$M153)=0,"",SWITCH($J153,"高",15,"中高",12,"中",9,"低",4,"待核验",8,0))</x:f>
      </x:c>
      <x:c r="T153" s="220" t="str">
        <x:f>IF(COUNTA($A153:$M153)=0,"",SUM($O153:$S153))</x:f>
      </x:c>
      <x:c r="U153" s="221" t="str">
        <x:f>IF(COUNTA($A153:$M153)=0,"",IF($N153="","待补base",IF(OR($N153&lt;30,$T153&lt;70),"不投",IF($N153&lt;35,"备选",IF($T153&gt;=85,"优先约聊","备选")))))</x:f>
      </x:c>
      <x:c r="V153" s="195"/>
      <x:c r="W153" s="222"/>
      <x:c r="X153" s="195"/>
      <x:c r="Y153" s="180"/>
    </x:row>
    <x:row r="154" ht="15" hidden="0" customHeight="1">
      <x:c r="A154" s="217"/>
      <x:c r="B154" s="195"/>
      <x:c r="C154" s="195"/>
      <x:c r="D154" s="218"/>
      <x:c r="E154" s="195"/>
      <x:c r="F154" s="195"/>
      <x:c r="G154" s="195"/>
      <x:c r="H154" s="195"/>
      <x:c r="I154" s="195"/>
      <x:c r="J154" s="195"/>
      <x:c r="K154" s="219"/>
      <x:c r="L154" s="195"/>
      <x:c r="M154" s="195"/>
      <x:c r="N154" s="219"/>
      <x:c r="O154" s="220" t="str">
        <x:f>IF(COUNTA($A154:$M154)=0,"",IF($N154="","待补",IF($N154&gt;=40,25,IF($N154&gt;=35,22,IF($N154&gt;=30,10,0)))))</x:f>
      </x:c>
      <x:c r="P154" s="220" t="str">
        <x:f>IF(COUNTA($A154:$M154)=0,"",IF(ISNUMBER($D154),IF($D154&lt;=45,20,IF($D154&lt;=60,14,IF($D154&lt;=75,8,3))),IF(OR(ISNUMBER(SEARCH("兴隆湖",$C154)),ISNUMBER(SEARCH("科学城",$C154))),20,IF(ISNUMBER(SEARCH("天府新区",$C154)),18,IF(OR(ISNUMBER(SEARCH("新川",$C154)),ISNUMBER(SEARCH("天府软件园",$C154)),ISNUMBER(SEARCH("高新南",$C154)),ISNUMBER(SEARCH("金融城",$C154))),12,5)))))</x:f>
      </x:c>
      <x:c r="Q154" s="220" t="str">
        <x:f>IF(COUNTA($A154:$M154)=0,"",SWITCH($H154,"核心",20,"强相关",16,"一般",10,"弱相关",5,"无",0,0))</x:f>
      </x:c>
      <x:c r="R154" s="220" t="str">
        <x:f>IF(COUNTA($A154:$M154)=0,"",SWITCH($I154,"核心",20,"强相关",16,"一般",10,"弱相关",5,"无",0,0))</x:f>
      </x:c>
      <x:c r="S154" s="220" t="str">
        <x:f>IF(COUNTA($A154:$M154)=0,"",SWITCH($J154,"高",15,"中高",12,"中",9,"低",4,"待核验",8,0))</x:f>
      </x:c>
      <x:c r="T154" s="220" t="str">
        <x:f>IF(COUNTA($A154:$M154)=0,"",SUM($O154:$S154))</x:f>
      </x:c>
      <x:c r="U154" s="221" t="str">
        <x:f>IF(COUNTA($A154:$M154)=0,"",IF($N154="","待补base",IF(OR($N154&lt;30,$T154&lt;70),"不投",IF($N154&lt;35,"备选",IF($T154&gt;=85,"优先约聊","备选")))))</x:f>
      </x:c>
      <x:c r="V154" s="195"/>
      <x:c r="W154" s="222"/>
      <x:c r="X154" s="195"/>
      <x:c r="Y154" s="180"/>
    </x:row>
    <x:row r="155" ht="15" hidden="0" customHeight="1">
      <x:c r="A155" s="217"/>
      <x:c r="B155" s="195"/>
      <x:c r="C155" s="195"/>
      <x:c r="D155" s="218"/>
      <x:c r="E155" s="195"/>
      <x:c r="F155" s="195"/>
      <x:c r="G155" s="195"/>
      <x:c r="H155" s="195"/>
      <x:c r="I155" s="195"/>
      <x:c r="J155" s="195"/>
      <x:c r="K155" s="219"/>
      <x:c r="L155" s="195"/>
      <x:c r="M155" s="195"/>
      <x:c r="N155" s="219"/>
      <x:c r="O155" s="220" t="str">
        <x:f>IF(COUNTA($A155:$M155)=0,"",IF($N155="","待补",IF($N155&gt;=40,25,IF($N155&gt;=35,22,IF($N155&gt;=30,10,0)))))</x:f>
      </x:c>
      <x:c r="P155" s="220" t="str">
        <x:f>IF(COUNTA($A155:$M155)=0,"",IF(ISNUMBER($D155),IF($D155&lt;=45,20,IF($D155&lt;=60,14,IF($D155&lt;=75,8,3))),IF(OR(ISNUMBER(SEARCH("兴隆湖",$C155)),ISNUMBER(SEARCH("科学城",$C155))),20,IF(ISNUMBER(SEARCH("天府新区",$C155)),18,IF(OR(ISNUMBER(SEARCH("新川",$C155)),ISNUMBER(SEARCH("天府软件园",$C155)),ISNUMBER(SEARCH("高新南",$C155)),ISNUMBER(SEARCH("金融城",$C155))),12,5)))))</x:f>
      </x:c>
      <x:c r="Q155" s="220" t="str">
        <x:f>IF(COUNTA($A155:$M155)=0,"",SWITCH($H155,"核心",20,"强相关",16,"一般",10,"弱相关",5,"无",0,0))</x:f>
      </x:c>
      <x:c r="R155" s="220" t="str">
        <x:f>IF(COUNTA($A155:$M155)=0,"",SWITCH($I155,"核心",20,"强相关",16,"一般",10,"弱相关",5,"无",0,0))</x:f>
      </x:c>
      <x:c r="S155" s="220" t="str">
        <x:f>IF(COUNTA($A155:$M155)=0,"",SWITCH($J155,"高",15,"中高",12,"中",9,"低",4,"待核验",8,0))</x:f>
      </x:c>
      <x:c r="T155" s="220" t="str">
        <x:f>IF(COUNTA($A155:$M155)=0,"",SUM($O155:$S155))</x:f>
      </x:c>
      <x:c r="U155" s="221" t="str">
        <x:f>IF(COUNTA($A155:$M155)=0,"",IF($N155="","待补base",IF(OR($N155&lt;30,$T155&lt;70),"不投",IF($N155&lt;35,"备选",IF($T155&gt;=85,"优先约聊","备选")))))</x:f>
      </x:c>
      <x:c r="V155" s="195"/>
      <x:c r="W155" s="222"/>
      <x:c r="X155" s="195"/>
      <x:c r="Y155" s="180"/>
    </x:row>
    <x:row r="156" ht="15" hidden="0" customHeight="1">
      <x:c r="A156" s="217"/>
      <x:c r="B156" s="195"/>
      <x:c r="C156" s="195"/>
      <x:c r="D156" s="218"/>
      <x:c r="E156" s="195"/>
      <x:c r="F156" s="195"/>
      <x:c r="G156" s="195"/>
      <x:c r="H156" s="195"/>
      <x:c r="I156" s="195"/>
      <x:c r="J156" s="195"/>
      <x:c r="K156" s="219"/>
      <x:c r="L156" s="195"/>
      <x:c r="M156" s="195"/>
      <x:c r="N156" s="219"/>
      <x:c r="O156" s="220" t="str">
        <x:f>IF(COUNTA($A156:$M156)=0,"",IF($N156="","待补",IF($N156&gt;=40,25,IF($N156&gt;=35,22,IF($N156&gt;=30,10,0)))))</x:f>
      </x:c>
      <x:c r="P156" s="220" t="str">
        <x:f>IF(COUNTA($A156:$M156)=0,"",IF(ISNUMBER($D156),IF($D156&lt;=45,20,IF($D156&lt;=60,14,IF($D156&lt;=75,8,3))),IF(OR(ISNUMBER(SEARCH("兴隆湖",$C156)),ISNUMBER(SEARCH("科学城",$C156))),20,IF(ISNUMBER(SEARCH("天府新区",$C156)),18,IF(OR(ISNUMBER(SEARCH("新川",$C156)),ISNUMBER(SEARCH("天府软件园",$C156)),ISNUMBER(SEARCH("高新南",$C156)),ISNUMBER(SEARCH("金融城",$C156))),12,5)))))</x:f>
      </x:c>
      <x:c r="Q156" s="220" t="str">
        <x:f>IF(COUNTA($A156:$M156)=0,"",SWITCH($H156,"核心",20,"强相关",16,"一般",10,"弱相关",5,"无",0,0))</x:f>
      </x:c>
      <x:c r="R156" s="220" t="str">
        <x:f>IF(COUNTA($A156:$M156)=0,"",SWITCH($I156,"核心",20,"强相关",16,"一般",10,"弱相关",5,"无",0,0))</x:f>
      </x:c>
      <x:c r="S156" s="220" t="str">
        <x:f>IF(COUNTA($A156:$M156)=0,"",SWITCH($J156,"高",15,"中高",12,"中",9,"低",4,"待核验",8,0))</x:f>
      </x:c>
      <x:c r="T156" s="220" t="str">
        <x:f>IF(COUNTA($A156:$M156)=0,"",SUM($O156:$S156))</x:f>
      </x:c>
      <x:c r="U156" s="221" t="str">
        <x:f>IF(COUNTA($A156:$M156)=0,"",IF($N156="","待补base",IF(OR($N156&lt;30,$T156&lt;70),"不投",IF($N156&lt;35,"备选",IF($T156&gt;=85,"优先约聊","备选")))))</x:f>
      </x:c>
      <x:c r="V156" s="195"/>
      <x:c r="W156" s="222"/>
      <x:c r="X156" s="195"/>
      <x:c r="Y156" s="180"/>
    </x:row>
    <x:row r="157" ht="15" hidden="0" customHeight="1">
      <x:c r="A157" s="217"/>
      <x:c r="B157" s="195"/>
      <x:c r="C157" s="195"/>
      <x:c r="D157" s="218"/>
      <x:c r="E157" s="195"/>
      <x:c r="F157" s="195"/>
      <x:c r="G157" s="195"/>
      <x:c r="H157" s="195"/>
      <x:c r="I157" s="195"/>
      <x:c r="J157" s="195"/>
      <x:c r="K157" s="219"/>
      <x:c r="L157" s="195"/>
      <x:c r="M157" s="195"/>
      <x:c r="N157" s="219"/>
      <x:c r="O157" s="220" t="str">
        <x:f>IF(COUNTA($A157:$M157)=0,"",IF($N157="","待补",IF($N157&gt;=40,25,IF($N157&gt;=35,22,IF($N157&gt;=30,10,0)))))</x:f>
      </x:c>
      <x:c r="P157" s="220" t="str">
        <x:f>IF(COUNTA($A157:$M157)=0,"",IF(ISNUMBER($D157),IF($D157&lt;=45,20,IF($D157&lt;=60,14,IF($D157&lt;=75,8,3))),IF(OR(ISNUMBER(SEARCH("兴隆湖",$C157)),ISNUMBER(SEARCH("科学城",$C157))),20,IF(ISNUMBER(SEARCH("天府新区",$C157)),18,IF(OR(ISNUMBER(SEARCH("新川",$C157)),ISNUMBER(SEARCH("天府软件园",$C157)),ISNUMBER(SEARCH("高新南",$C157)),ISNUMBER(SEARCH("金融城",$C157))),12,5)))))</x:f>
      </x:c>
      <x:c r="Q157" s="220" t="str">
        <x:f>IF(COUNTA($A157:$M157)=0,"",SWITCH($H157,"核心",20,"强相关",16,"一般",10,"弱相关",5,"无",0,0))</x:f>
      </x:c>
      <x:c r="R157" s="220" t="str">
        <x:f>IF(COUNTA($A157:$M157)=0,"",SWITCH($I157,"核心",20,"强相关",16,"一般",10,"弱相关",5,"无",0,0))</x:f>
      </x:c>
      <x:c r="S157" s="220" t="str">
        <x:f>IF(COUNTA($A157:$M157)=0,"",SWITCH($J157,"高",15,"中高",12,"中",9,"低",4,"待核验",8,0))</x:f>
      </x:c>
      <x:c r="T157" s="220" t="str">
        <x:f>IF(COUNTA($A157:$M157)=0,"",SUM($O157:$S157))</x:f>
      </x:c>
      <x:c r="U157" s="221" t="str">
        <x:f>IF(COUNTA($A157:$M157)=0,"",IF($N157="","待补base",IF(OR($N157&lt;30,$T157&lt;70),"不投",IF($N157&lt;35,"备选",IF($T157&gt;=85,"优先约聊","备选")))))</x:f>
      </x:c>
      <x:c r="V157" s="195"/>
      <x:c r="W157" s="222"/>
      <x:c r="X157" s="195"/>
      <x:c r="Y157" s="180"/>
    </x:row>
    <x:row r="158" ht="15" hidden="0" customHeight="1">
      <x:c r="A158" s="217"/>
      <x:c r="B158" s="195"/>
      <x:c r="C158" s="195"/>
      <x:c r="D158" s="218"/>
      <x:c r="E158" s="195"/>
      <x:c r="F158" s="195"/>
      <x:c r="G158" s="195"/>
      <x:c r="H158" s="195"/>
      <x:c r="I158" s="195"/>
      <x:c r="J158" s="195"/>
      <x:c r="K158" s="219"/>
      <x:c r="L158" s="195"/>
      <x:c r="M158" s="195"/>
      <x:c r="N158" s="219"/>
      <x:c r="O158" s="220" t="str">
        <x:f>IF(COUNTA($A158:$M158)=0,"",IF($N158="","待补",IF($N158&gt;=40,25,IF($N158&gt;=35,22,IF($N158&gt;=30,10,0)))))</x:f>
      </x:c>
      <x:c r="P158" s="220" t="str">
        <x:f>IF(COUNTA($A158:$M158)=0,"",IF(ISNUMBER($D158),IF($D158&lt;=45,20,IF($D158&lt;=60,14,IF($D158&lt;=75,8,3))),IF(OR(ISNUMBER(SEARCH("兴隆湖",$C158)),ISNUMBER(SEARCH("科学城",$C158))),20,IF(ISNUMBER(SEARCH("天府新区",$C158)),18,IF(OR(ISNUMBER(SEARCH("新川",$C158)),ISNUMBER(SEARCH("天府软件园",$C158)),ISNUMBER(SEARCH("高新南",$C158)),ISNUMBER(SEARCH("金融城",$C158))),12,5)))))</x:f>
      </x:c>
      <x:c r="Q158" s="220" t="str">
        <x:f>IF(COUNTA($A158:$M158)=0,"",SWITCH($H158,"核心",20,"强相关",16,"一般",10,"弱相关",5,"无",0,0))</x:f>
      </x:c>
      <x:c r="R158" s="220" t="str">
        <x:f>IF(COUNTA($A158:$M158)=0,"",SWITCH($I158,"核心",20,"强相关",16,"一般",10,"弱相关",5,"无",0,0))</x:f>
      </x:c>
      <x:c r="S158" s="220" t="str">
        <x:f>IF(COUNTA($A158:$M158)=0,"",SWITCH($J158,"高",15,"中高",12,"中",9,"低",4,"待核验",8,0))</x:f>
      </x:c>
      <x:c r="T158" s="220" t="str">
        <x:f>IF(COUNTA($A158:$M158)=0,"",SUM($O158:$S158))</x:f>
      </x:c>
      <x:c r="U158" s="221" t="str">
        <x:f>IF(COUNTA($A158:$M158)=0,"",IF($N158="","待补base",IF(OR($N158&lt;30,$T158&lt;70),"不投",IF($N158&lt;35,"备选",IF($T158&gt;=85,"优先约聊","备选")))))</x:f>
      </x:c>
      <x:c r="V158" s="195"/>
      <x:c r="W158" s="222"/>
      <x:c r="X158" s="195"/>
      <x:c r="Y158" s="180"/>
    </x:row>
    <x:row r="159" ht="15" hidden="0" customHeight="1">
      <x:c r="A159" s="217"/>
      <x:c r="B159" s="195"/>
      <x:c r="C159" s="195"/>
      <x:c r="D159" s="218"/>
      <x:c r="E159" s="195"/>
      <x:c r="F159" s="195"/>
      <x:c r="G159" s="195"/>
      <x:c r="H159" s="195"/>
      <x:c r="I159" s="195"/>
      <x:c r="J159" s="195"/>
      <x:c r="K159" s="219"/>
      <x:c r="L159" s="195"/>
      <x:c r="M159" s="195"/>
      <x:c r="N159" s="219"/>
      <x:c r="O159" s="220" t="str">
        <x:f>IF(COUNTA($A159:$M159)=0,"",IF($N159="","待补",IF($N159&gt;=40,25,IF($N159&gt;=35,22,IF($N159&gt;=30,10,0)))))</x:f>
      </x:c>
      <x:c r="P159" s="220" t="str">
        <x:f>IF(COUNTA($A159:$M159)=0,"",IF(ISNUMBER($D159),IF($D159&lt;=45,20,IF($D159&lt;=60,14,IF($D159&lt;=75,8,3))),IF(OR(ISNUMBER(SEARCH("兴隆湖",$C159)),ISNUMBER(SEARCH("科学城",$C159))),20,IF(ISNUMBER(SEARCH("天府新区",$C159)),18,IF(OR(ISNUMBER(SEARCH("新川",$C159)),ISNUMBER(SEARCH("天府软件园",$C159)),ISNUMBER(SEARCH("高新南",$C159)),ISNUMBER(SEARCH("金融城",$C159))),12,5)))))</x:f>
      </x:c>
      <x:c r="Q159" s="220" t="str">
        <x:f>IF(COUNTA($A159:$M159)=0,"",SWITCH($H159,"核心",20,"强相关",16,"一般",10,"弱相关",5,"无",0,0))</x:f>
      </x:c>
      <x:c r="R159" s="220" t="str">
        <x:f>IF(COUNTA($A159:$M159)=0,"",SWITCH($I159,"核心",20,"强相关",16,"一般",10,"弱相关",5,"无",0,0))</x:f>
      </x:c>
      <x:c r="S159" s="220" t="str">
        <x:f>IF(COUNTA($A159:$M159)=0,"",SWITCH($J159,"高",15,"中高",12,"中",9,"低",4,"待核验",8,0))</x:f>
      </x:c>
      <x:c r="T159" s="220" t="str">
        <x:f>IF(COUNTA($A159:$M159)=0,"",SUM($O159:$S159))</x:f>
      </x:c>
      <x:c r="U159" s="221" t="str">
        <x:f>IF(COUNTA($A159:$M159)=0,"",IF($N159="","待补base",IF(OR($N159&lt;30,$T159&lt;70),"不投",IF($N159&lt;35,"备选",IF($T159&gt;=85,"优先约聊","备选")))))</x:f>
      </x:c>
      <x:c r="V159" s="195"/>
      <x:c r="W159" s="222"/>
      <x:c r="X159" s="195"/>
      <x:c r="Y159" s="180"/>
    </x:row>
    <x:row r="160" ht="15" hidden="0" customHeight="1">
      <x:c r="A160" s="217"/>
      <x:c r="B160" s="195"/>
      <x:c r="C160" s="195"/>
      <x:c r="D160" s="218"/>
      <x:c r="E160" s="195"/>
      <x:c r="F160" s="195"/>
      <x:c r="G160" s="195"/>
      <x:c r="H160" s="195"/>
      <x:c r="I160" s="195"/>
      <x:c r="J160" s="195"/>
      <x:c r="K160" s="219"/>
      <x:c r="L160" s="195"/>
      <x:c r="M160" s="195"/>
      <x:c r="N160" s="219"/>
      <x:c r="O160" s="220" t="str">
        <x:f>IF(COUNTA($A160:$M160)=0,"",IF($N160="","待补",IF($N160&gt;=40,25,IF($N160&gt;=35,22,IF($N160&gt;=30,10,0)))))</x:f>
      </x:c>
      <x:c r="P160" s="220" t="str">
        <x:f>IF(COUNTA($A160:$M160)=0,"",IF(ISNUMBER($D160),IF($D160&lt;=45,20,IF($D160&lt;=60,14,IF($D160&lt;=75,8,3))),IF(OR(ISNUMBER(SEARCH("兴隆湖",$C160)),ISNUMBER(SEARCH("科学城",$C160))),20,IF(ISNUMBER(SEARCH("天府新区",$C160)),18,IF(OR(ISNUMBER(SEARCH("新川",$C160)),ISNUMBER(SEARCH("天府软件园",$C160)),ISNUMBER(SEARCH("高新南",$C160)),ISNUMBER(SEARCH("金融城",$C160))),12,5)))))</x:f>
      </x:c>
      <x:c r="Q160" s="220" t="str">
        <x:f>IF(COUNTA($A160:$M160)=0,"",SWITCH($H160,"核心",20,"强相关",16,"一般",10,"弱相关",5,"无",0,0))</x:f>
      </x:c>
      <x:c r="R160" s="220" t="str">
        <x:f>IF(COUNTA($A160:$M160)=0,"",SWITCH($I160,"核心",20,"强相关",16,"一般",10,"弱相关",5,"无",0,0))</x:f>
      </x:c>
      <x:c r="S160" s="220" t="str">
        <x:f>IF(COUNTA($A160:$M160)=0,"",SWITCH($J160,"高",15,"中高",12,"中",9,"低",4,"待核验",8,0))</x:f>
      </x:c>
      <x:c r="T160" s="220" t="str">
        <x:f>IF(COUNTA($A160:$M160)=0,"",SUM($O160:$S160))</x:f>
      </x:c>
      <x:c r="U160" s="221" t="str">
        <x:f>IF(COUNTA($A160:$M160)=0,"",IF($N160="","待补base",IF(OR($N160&lt;30,$T160&lt;70),"不投",IF($N160&lt;35,"备选",IF($T160&gt;=85,"优先约聊","备选")))))</x:f>
      </x:c>
      <x:c r="V160" s="195"/>
      <x:c r="W160" s="222"/>
      <x:c r="X160" s="195"/>
      <x:c r="Y160" s="180"/>
    </x:row>
    <x:row r="161" ht="15" hidden="0" customHeight="1">
      <x:c r="A161" s="217"/>
      <x:c r="B161" s="195"/>
      <x:c r="C161" s="195"/>
      <x:c r="D161" s="218"/>
      <x:c r="E161" s="195"/>
      <x:c r="F161" s="195"/>
      <x:c r="G161" s="195"/>
      <x:c r="H161" s="195"/>
      <x:c r="I161" s="195"/>
      <x:c r="J161" s="195"/>
      <x:c r="K161" s="219"/>
      <x:c r="L161" s="195"/>
      <x:c r="M161" s="195"/>
      <x:c r="N161" s="219"/>
      <x:c r="O161" s="220" t="str">
        <x:f>IF(COUNTA($A161:$M161)=0,"",IF($N161="","待补",IF($N161&gt;=40,25,IF($N161&gt;=35,22,IF($N161&gt;=30,10,0)))))</x:f>
      </x:c>
      <x:c r="P161" s="220" t="str">
        <x:f>IF(COUNTA($A161:$M161)=0,"",IF(ISNUMBER($D161),IF($D161&lt;=45,20,IF($D161&lt;=60,14,IF($D161&lt;=75,8,3))),IF(OR(ISNUMBER(SEARCH("兴隆湖",$C161)),ISNUMBER(SEARCH("科学城",$C161))),20,IF(ISNUMBER(SEARCH("天府新区",$C161)),18,IF(OR(ISNUMBER(SEARCH("新川",$C161)),ISNUMBER(SEARCH("天府软件园",$C161)),ISNUMBER(SEARCH("高新南",$C161)),ISNUMBER(SEARCH("金融城",$C161))),12,5)))))</x:f>
      </x:c>
      <x:c r="Q161" s="220" t="str">
        <x:f>IF(COUNTA($A161:$M161)=0,"",SWITCH($H161,"核心",20,"强相关",16,"一般",10,"弱相关",5,"无",0,0))</x:f>
      </x:c>
      <x:c r="R161" s="220" t="str">
        <x:f>IF(COUNTA($A161:$M161)=0,"",SWITCH($I161,"核心",20,"强相关",16,"一般",10,"弱相关",5,"无",0,0))</x:f>
      </x:c>
      <x:c r="S161" s="220" t="str">
        <x:f>IF(COUNTA($A161:$M161)=0,"",SWITCH($J161,"高",15,"中高",12,"中",9,"低",4,"待核验",8,0))</x:f>
      </x:c>
      <x:c r="T161" s="220" t="str">
        <x:f>IF(COUNTA($A161:$M161)=0,"",SUM($O161:$S161))</x:f>
      </x:c>
      <x:c r="U161" s="221" t="str">
        <x:f>IF(COUNTA($A161:$M161)=0,"",IF($N161="","待补base",IF(OR($N161&lt;30,$T161&lt;70),"不投",IF($N161&lt;35,"备选",IF($T161&gt;=85,"优先约聊","备选")))))</x:f>
      </x:c>
      <x:c r="V161" s="195"/>
      <x:c r="W161" s="222"/>
      <x:c r="X161" s="195"/>
      <x:c r="Y161" s="180"/>
    </x:row>
    <x:row r="162" ht="15" hidden="0" customHeight="1">
      <x:c r="A162" s="217"/>
      <x:c r="B162" s="195"/>
      <x:c r="C162" s="195"/>
      <x:c r="D162" s="218"/>
      <x:c r="E162" s="195"/>
      <x:c r="F162" s="195"/>
      <x:c r="G162" s="195"/>
      <x:c r="H162" s="195"/>
      <x:c r="I162" s="195"/>
      <x:c r="J162" s="195"/>
      <x:c r="K162" s="219"/>
      <x:c r="L162" s="195"/>
      <x:c r="M162" s="195"/>
      <x:c r="N162" s="219"/>
      <x:c r="O162" s="220" t="str">
        <x:f>IF(COUNTA($A162:$M162)=0,"",IF($N162="","待补",IF($N162&gt;=40,25,IF($N162&gt;=35,22,IF($N162&gt;=30,10,0)))))</x:f>
      </x:c>
      <x:c r="P162" s="220" t="str">
        <x:f>IF(COUNTA($A162:$M162)=0,"",IF(ISNUMBER($D162),IF($D162&lt;=45,20,IF($D162&lt;=60,14,IF($D162&lt;=75,8,3))),IF(OR(ISNUMBER(SEARCH("兴隆湖",$C162)),ISNUMBER(SEARCH("科学城",$C162))),20,IF(ISNUMBER(SEARCH("天府新区",$C162)),18,IF(OR(ISNUMBER(SEARCH("新川",$C162)),ISNUMBER(SEARCH("天府软件园",$C162)),ISNUMBER(SEARCH("高新南",$C162)),ISNUMBER(SEARCH("金融城",$C162))),12,5)))))</x:f>
      </x:c>
      <x:c r="Q162" s="220" t="str">
        <x:f>IF(COUNTA($A162:$M162)=0,"",SWITCH($H162,"核心",20,"强相关",16,"一般",10,"弱相关",5,"无",0,0))</x:f>
      </x:c>
      <x:c r="R162" s="220" t="str">
        <x:f>IF(COUNTA($A162:$M162)=0,"",SWITCH($I162,"核心",20,"强相关",16,"一般",10,"弱相关",5,"无",0,0))</x:f>
      </x:c>
      <x:c r="S162" s="220" t="str">
        <x:f>IF(COUNTA($A162:$M162)=0,"",SWITCH($J162,"高",15,"中高",12,"中",9,"低",4,"待核验",8,0))</x:f>
      </x:c>
      <x:c r="T162" s="220" t="str">
        <x:f>IF(COUNTA($A162:$M162)=0,"",SUM($O162:$S162))</x:f>
      </x:c>
      <x:c r="U162" s="221" t="str">
        <x:f>IF(COUNTA($A162:$M162)=0,"",IF($N162="","待补base",IF(OR($N162&lt;30,$T162&lt;70),"不投",IF($N162&lt;35,"备选",IF($T162&gt;=85,"优先约聊","备选")))))</x:f>
      </x:c>
      <x:c r="V162" s="195"/>
      <x:c r="W162" s="222"/>
      <x:c r="X162" s="195"/>
      <x:c r="Y162" s="180"/>
    </x:row>
    <x:row r="163" ht="15" hidden="0" customHeight="1">
      <x:c r="A163" s="217"/>
      <x:c r="B163" s="195"/>
      <x:c r="C163" s="195"/>
      <x:c r="D163" s="218"/>
      <x:c r="E163" s="195"/>
      <x:c r="F163" s="195"/>
      <x:c r="G163" s="195"/>
      <x:c r="H163" s="195"/>
      <x:c r="I163" s="195"/>
      <x:c r="J163" s="195"/>
      <x:c r="K163" s="219"/>
      <x:c r="L163" s="195"/>
      <x:c r="M163" s="195"/>
      <x:c r="N163" s="219"/>
      <x:c r="O163" s="220" t="str">
        <x:f>IF(COUNTA($A163:$M163)=0,"",IF($N163="","待补",IF($N163&gt;=40,25,IF($N163&gt;=35,22,IF($N163&gt;=30,10,0)))))</x:f>
      </x:c>
      <x:c r="P163" s="220" t="str">
        <x:f>IF(COUNTA($A163:$M163)=0,"",IF(ISNUMBER($D163),IF($D163&lt;=45,20,IF($D163&lt;=60,14,IF($D163&lt;=75,8,3))),IF(OR(ISNUMBER(SEARCH("兴隆湖",$C163)),ISNUMBER(SEARCH("科学城",$C163))),20,IF(ISNUMBER(SEARCH("天府新区",$C163)),18,IF(OR(ISNUMBER(SEARCH("新川",$C163)),ISNUMBER(SEARCH("天府软件园",$C163)),ISNUMBER(SEARCH("高新南",$C163)),ISNUMBER(SEARCH("金融城",$C163))),12,5)))))</x:f>
      </x:c>
      <x:c r="Q163" s="220" t="str">
        <x:f>IF(COUNTA($A163:$M163)=0,"",SWITCH($H163,"核心",20,"强相关",16,"一般",10,"弱相关",5,"无",0,0))</x:f>
      </x:c>
      <x:c r="R163" s="220" t="str">
        <x:f>IF(COUNTA($A163:$M163)=0,"",SWITCH($I163,"核心",20,"强相关",16,"一般",10,"弱相关",5,"无",0,0))</x:f>
      </x:c>
      <x:c r="S163" s="220" t="str">
        <x:f>IF(COUNTA($A163:$M163)=0,"",SWITCH($J163,"高",15,"中高",12,"中",9,"低",4,"待核验",8,0))</x:f>
      </x:c>
      <x:c r="T163" s="220" t="str">
        <x:f>IF(COUNTA($A163:$M163)=0,"",SUM($O163:$S163))</x:f>
      </x:c>
      <x:c r="U163" s="221" t="str">
        <x:f>IF(COUNTA($A163:$M163)=0,"",IF($N163="","待补base",IF(OR($N163&lt;30,$T163&lt;70),"不投",IF($N163&lt;35,"备选",IF($T163&gt;=85,"优先约聊","备选")))))</x:f>
      </x:c>
      <x:c r="V163" s="195"/>
      <x:c r="W163" s="222"/>
      <x:c r="X163" s="195"/>
      <x:c r="Y163" s="180"/>
    </x:row>
    <x:row r="164" ht="15" hidden="0" customHeight="1">
      <x:c r="A164" s="217"/>
      <x:c r="B164" s="195"/>
      <x:c r="C164" s="195"/>
      <x:c r="D164" s="218"/>
      <x:c r="E164" s="195"/>
      <x:c r="F164" s="195"/>
      <x:c r="G164" s="195"/>
      <x:c r="H164" s="195"/>
      <x:c r="I164" s="195"/>
      <x:c r="J164" s="195"/>
      <x:c r="K164" s="219"/>
      <x:c r="L164" s="195"/>
      <x:c r="M164" s="195"/>
      <x:c r="N164" s="219"/>
      <x:c r="O164" s="220" t="str">
        <x:f>IF(COUNTA($A164:$M164)=0,"",IF($N164="","待补",IF($N164&gt;=40,25,IF($N164&gt;=35,22,IF($N164&gt;=30,10,0)))))</x:f>
      </x:c>
      <x:c r="P164" s="220" t="str">
        <x:f>IF(COUNTA($A164:$M164)=0,"",IF(ISNUMBER($D164),IF($D164&lt;=45,20,IF($D164&lt;=60,14,IF($D164&lt;=75,8,3))),IF(OR(ISNUMBER(SEARCH("兴隆湖",$C164)),ISNUMBER(SEARCH("科学城",$C164))),20,IF(ISNUMBER(SEARCH("天府新区",$C164)),18,IF(OR(ISNUMBER(SEARCH("新川",$C164)),ISNUMBER(SEARCH("天府软件园",$C164)),ISNUMBER(SEARCH("高新南",$C164)),ISNUMBER(SEARCH("金融城",$C164))),12,5)))))</x:f>
      </x:c>
      <x:c r="Q164" s="220" t="str">
        <x:f>IF(COUNTA($A164:$M164)=0,"",SWITCH($H164,"核心",20,"强相关",16,"一般",10,"弱相关",5,"无",0,0))</x:f>
      </x:c>
      <x:c r="R164" s="220" t="str">
        <x:f>IF(COUNTA($A164:$M164)=0,"",SWITCH($I164,"核心",20,"强相关",16,"一般",10,"弱相关",5,"无",0,0))</x:f>
      </x:c>
      <x:c r="S164" s="220" t="str">
        <x:f>IF(COUNTA($A164:$M164)=0,"",SWITCH($J164,"高",15,"中高",12,"中",9,"低",4,"待核验",8,0))</x:f>
      </x:c>
      <x:c r="T164" s="220" t="str">
        <x:f>IF(COUNTA($A164:$M164)=0,"",SUM($O164:$S164))</x:f>
      </x:c>
      <x:c r="U164" s="221" t="str">
        <x:f>IF(COUNTA($A164:$M164)=0,"",IF($N164="","待补base",IF(OR($N164&lt;30,$T164&lt;70),"不投",IF($N164&lt;35,"备选",IF($T164&gt;=85,"优先约聊","备选")))))</x:f>
      </x:c>
      <x:c r="V164" s="195"/>
      <x:c r="W164" s="222"/>
      <x:c r="X164" s="195"/>
      <x:c r="Y164" s="180"/>
    </x:row>
    <x:row r="165" ht="15" hidden="0" customHeight="1">
      <x:c r="A165" s="217"/>
      <x:c r="B165" s="195"/>
      <x:c r="C165" s="195"/>
      <x:c r="D165" s="218"/>
      <x:c r="E165" s="195"/>
      <x:c r="F165" s="195"/>
      <x:c r="G165" s="195"/>
      <x:c r="H165" s="195"/>
      <x:c r="I165" s="195"/>
      <x:c r="J165" s="195"/>
      <x:c r="K165" s="219"/>
      <x:c r="L165" s="195"/>
      <x:c r="M165" s="195"/>
      <x:c r="N165" s="219"/>
      <x:c r="O165" s="220" t="str">
        <x:f>IF(COUNTA($A165:$M165)=0,"",IF($N165="","待补",IF($N165&gt;=40,25,IF($N165&gt;=35,22,IF($N165&gt;=30,10,0)))))</x:f>
      </x:c>
      <x:c r="P165" s="220" t="str">
        <x:f>IF(COUNTA($A165:$M165)=0,"",IF(ISNUMBER($D165),IF($D165&lt;=45,20,IF($D165&lt;=60,14,IF($D165&lt;=75,8,3))),IF(OR(ISNUMBER(SEARCH("兴隆湖",$C165)),ISNUMBER(SEARCH("科学城",$C165))),20,IF(ISNUMBER(SEARCH("天府新区",$C165)),18,IF(OR(ISNUMBER(SEARCH("新川",$C165)),ISNUMBER(SEARCH("天府软件园",$C165)),ISNUMBER(SEARCH("高新南",$C165)),ISNUMBER(SEARCH("金融城",$C165))),12,5)))))</x:f>
      </x:c>
      <x:c r="Q165" s="220" t="str">
        <x:f>IF(COUNTA($A165:$M165)=0,"",SWITCH($H165,"核心",20,"强相关",16,"一般",10,"弱相关",5,"无",0,0))</x:f>
      </x:c>
      <x:c r="R165" s="220" t="str">
        <x:f>IF(COUNTA($A165:$M165)=0,"",SWITCH($I165,"核心",20,"强相关",16,"一般",10,"弱相关",5,"无",0,0))</x:f>
      </x:c>
      <x:c r="S165" s="220" t="str">
        <x:f>IF(COUNTA($A165:$M165)=0,"",SWITCH($J165,"高",15,"中高",12,"中",9,"低",4,"待核验",8,0))</x:f>
      </x:c>
      <x:c r="T165" s="220" t="str">
        <x:f>IF(COUNTA($A165:$M165)=0,"",SUM($O165:$S165))</x:f>
      </x:c>
      <x:c r="U165" s="221" t="str">
        <x:f>IF(COUNTA($A165:$M165)=0,"",IF($N165="","待补base",IF(OR($N165&lt;30,$T165&lt;70),"不投",IF($N165&lt;35,"备选",IF($T165&gt;=85,"优先约聊","备选")))))</x:f>
      </x:c>
      <x:c r="V165" s="195"/>
      <x:c r="W165" s="222"/>
      <x:c r="X165" s="195"/>
      <x:c r="Y165" s="180"/>
    </x:row>
    <x:row r="166" ht="15" hidden="0" customHeight="1">
      <x:c r="A166" s="217"/>
      <x:c r="B166" s="195"/>
      <x:c r="C166" s="195"/>
      <x:c r="D166" s="218"/>
      <x:c r="E166" s="195"/>
      <x:c r="F166" s="195"/>
      <x:c r="G166" s="195"/>
      <x:c r="H166" s="195"/>
      <x:c r="I166" s="195"/>
      <x:c r="J166" s="195"/>
      <x:c r="K166" s="219"/>
      <x:c r="L166" s="195"/>
      <x:c r="M166" s="195"/>
      <x:c r="N166" s="219"/>
      <x:c r="O166" s="220" t="str">
        <x:f>IF(COUNTA($A166:$M166)=0,"",IF($N166="","待补",IF($N166&gt;=40,25,IF($N166&gt;=35,22,IF($N166&gt;=30,10,0)))))</x:f>
      </x:c>
      <x:c r="P166" s="220" t="str">
        <x:f>IF(COUNTA($A166:$M166)=0,"",IF(ISNUMBER($D166),IF($D166&lt;=45,20,IF($D166&lt;=60,14,IF($D166&lt;=75,8,3))),IF(OR(ISNUMBER(SEARCH("兴隆湖",$C166)),ISNUMBER(SEARCH("科学城",$C166))),20,IF(ISNUMBER(SEARCH("天府新区",$C166)),18,IF(OR(ISNUMBER(SEARCH("新川",$C166)),ISNUMBER(SEARCH("天府软件园",$C166)),ISNUMBER(SEARCH("高新南",$C166)),ISNUMBER(SEARCH("金融城",$C166))),12,5)))))</x:f>
      </x:c>
      <x:c r="Q166" s="220" t="str">
        <x:f>IF(COUNTA($A166:$M166)=0,"",SWITCH($H166,"核心",20,"强相关",16,"一般",10,"弱相关",5,"无",0,0))</x:f>
      </x:c>
      <x:c r="R166" s="220" t="str">
        <x:f>IF(COUNTA($A166:$M166)=0,"",SWITCH($I166,"核心",20,"强相关",16,"一般",10,"弱相关",5,"无",0,0))</x:f>
      </x:c>
      <x:c r="S166" s="220" t="str">
        <x:f>IF(COUNTA($A166:$M166)=0,"",SWITCH($J166,"高",15,"中高",12,"中",9,"低",4,"待核验",8,0))</x:f>
      </x:c>
      <x:c r="T166" s="220" t="str">
        <x:f>IF(COUNTA($A166:$M166)=0,"",SUM($O166:$S166))</x:f>
      </x:c>
      <x:c r="U166" s="221" t="str">
        <x:f>IF(COUNTA($A166:$M166)=0,"",IF($N166="","待补base",IF(OR($N166&lt;30,$T166&lt;70),"不投",IF($N166&lt;35,"备选",IF($T166&gt;=85,"优先约聊","备选")))))</x:f>
      </x:c>
      <x:c r="V166" s="195"/>
      <x:c r="W166" s="222"/>
      <x:c r="X166" s="195"/>
      <x:c r="Y166" s="180"/>
    </x:row>
    <x:row r="167" ht="15" hidden="0" customHeight="1">
      <x:c r="A167" s="217"/>
      <x:c r="B167" s="195"/>
      <x:c r="C167" s="195"/>
      <x:c r="D167" s="218"/>
      <x:c r="E167" s="195"/>
      <x:c r="F167" s="195"/>
      <x:c r="G167" s="195"/>
      <x:c r="H167" s="195"/>
      <x:c r="I167" s="195"/>
      <x:c r="J167" s="195"/>
      <x:c r="K167" s="219"/>
      <x:c r="L167" s="195"/>
      <x:c r="M167" s="195"/>
      <x:c r="N167" s="219"/>
      <x:c r="O167" s="220" t="str">
        <x:f>IF(COUNTA($A167:$M167)=0,"",IF($N167="","待补",IF($N167&gt;=40,25,IF($N167&gt;=35,22,IF($N167&gt;=30,10,0)))))</x:f>
      </x:c>
      <x:c r="P167" s="220" t="str">
        <x:f>IF(COUNTA($A167:$M167)=0,"",IF(ISNUMBER($D167),IF($D167&lt;=45,20,IF($D167&lt;=60,14,IF($D167&lt;=75,8,3))),IF(OR(ISNUMBER(SEARCH("兴隆湖",$C167)),ISNUMBER(SEARCH("科学城",$C167))),20,IF(ISNUMBER(SEARCH("天府新区",$C167)),18,IF(OR(ISNUMBER(SEARCH("新川",$C167)),ISNUMBER(SEARCH("天府软件园",$C167)),ISNUMBER(SEARCH("高新南",$C167)),ISNUMBER(SEARCH("金融城",$C167))),12,5)))))</x:f>
      </x:c>
      <x:c r="Q167" s="220" t="str">
        <x:f>IF(COUNTA($A167:$M167)=0,"",SWITCH($H167,"核心",20,"强相关",16,"一般",10,"弱相关",5,"无",0,0))</x:f>
      </x:c>
      <x:c r="R167" s="220" t="str">
        <x:f>IF(COUNTA($A167:$M167)=0,"",SWITCH($I167,"核心",20,"强相关",16,"一般",10,"弱相关",5,"无",0,0))</x:f>
      </x:c>
      <x:c r="S167" s="220" t="str">
        <x:f>IF(COUNTA($A167:$M167)=0,"",SWITCH($J167,"高",15,"中高",12,"中",9,"低",4,"待核验",8,0))</x:f>
      </x:c>
      <x:c r="T167" s="220" t="str">
        <x:f>IF(COUNTA($A167:$M167)=0,"",SUM($O167:$S167))</x:f>
      </x:c>
      <x:c r="U167" s="221" t="str">
        <x:f>IF(COUNTA($A167:$M167)=0,"",IF($N167="","待补base",IF(OR($N167&lt;30,$T167&lt;70),"不投",IF($N167&lt;35,"备选",IF($T167&gt;=85,"优先约聊","备选")))))</x:f>
      </x:c>
      <x:c r="V167" s="195"/>
      <x:c r="W167" s="222"/>
      <x:c r="X167" s="195"/>
      <x:c r="Y167" s="180"/>
    </x:row>
    <x:row r="168" ht="15" hidden="0" customHeight="1">
      <x:c r="A168" s="217"/>
      <x:c r="B168" s="195"/>
      <x:c r="C168" s="195"/>
      <x:c r="D168" s="218"/>
      <x:c r="E168" s="195"/>
      <x:c r="F168" s="195"/>
      <x:c r="G168" s="195"/>
      <x:c r="H168" s="195"/>
      <x:c r="I168" s="195"/>
      <x:c r="J168" s="195"/>
      <x:c r="K168" s="219"/>
      <x:c r="L168" s="195"/>
      <x:c r="M168" s="195"/>
      <x:c r="N168" s="219"/>
      <x:c r="O168" s="220" t="str">
        <x:f>IF(COUNTA($A168:$M168)=0,"",IF($N168="","待补",IF($N168&gt;=40,25,IF($N168&gt;=35,22,IF($N168&gt;=30,10,0)))))</x:f>
      </x:c>
      <x:c r="P168" s="220" t="str">
        <x:f>IF(COUNTA($A168:$M168)=0,"",IF(ISNUMBER($D168),IF($D168&lt;=45,20,IF($D168&lt;=60,14,IF($D168&lt;=75,8,3))),IF(OR(ISNUMBER(SEARCH("兴隆湖",$C168)),ISNUMBER(SEARCH("科学城",$C168))),20,IF(ISNUMBER(SEARCH("天府新区",$C168)),18,IF(OR(ISNUMBER(SEARCH("新川",$C168)),ISNUMBER(SEARCH("天府软件园",$C168)),ISNUMBER(SEARCH("高新南",$C168)),ISNUMBER(SEARCH("金融城",$C168))),12,5)))))</x:f>
      </x:c>
      <x:c r="Q168" s="220" t="str">
        <x:f>IF(COUNTA($A168:$M168)=0,"",SWITCH($H168,"核心",20,"强相关",16,"一般",10,"弱相关",5,"无",0,0))</x:f>
      </x:c>
      <x:c r="R168" s="220" t="str">
        <x:f>IF(COUNTA($A168:$M168)=0,"",SWITCH($I168,"核心",20,"强相关",16,"一般",10,"弱相关",5,"无",0,0))</x:f>
      </x:c>
      <x:c r="S168" s="220" t="str">
        <x:f>IF(COUNTA($A168:$M168)=0,"",SWITCH($J168,"高",15,"中高",12,"中",9,"低",4,"待核验",8,0))</x:f>
      </x:c>
      <x:c r="T168" s="220" t="str">
        <x:f>IF(COUNTA($A168:$M168)=0,"",SUM($O168:$S168))</x:f>
      </x:c>
      <x:c r="U168" s="221" t="str">
        <x:f>IF(COUNTA($A168:$M168)=0,"",IF($N168="","待补base",IF(OR($N168&lt;30,$T168&lt;70),"不投",IF($N168&lt;35,"备选",IF($T168&gt;=85,"优先约聊","备选")))))</x:f>
      </x:c>
      <x:c r="V168" s="195"/>
      <x:c r="W168" s="222"/>
      <x:c r="X168" s="195"/>
      <x:c r="Y168" s="180"/>
    </x:row>
    <x:row r="169" ht="15" hidden="0" customHeight="1">
      <x:c r="A169" s="217"/>
      <x:c r="B169" s="195"/>
      <x:c r="C169" s="195"/>
      <x:c r="D169" s="218"/>
      <x:c r="E169" s="195"/>
      <x:c r="F169" s="195"/>
      <x:c r="G169" s="195"/>
      <x:c r="H169" s="195"/>
      <x:c r="I169" s="195"/>
      <x:c r="J169" s="195"/>
      <x:c r="K169" s="219"/>
      <x:c r="L169" s="195"/>
      <x:c r="M169" s="195"/>
      <x:c r="N169" s="219"/>
      <x:c r="O169" s="220" t="str">
        <x:f>IF(COUNTA($A169:$M169)=0,"",IF($N169="","待补",IF($N169&gt;=40,25,IF($N169&gt;=35,22,IF($N169&gt;=30,10,0)))))</x:f>
      </x:c>
      <x:c r="P169" s="220" t="str">
        <x:f>IF(COUNTA($A169:$M169)=0,"",IF(ISNUMBER($D169),IF($D169&lt;=45,20,IF($D169&lt;=60,14,IF($D169&lt;=75,8,3))),IF(OR(ISNUMBER(SEARCH("兴隆湖",$C169)),ISNUMBER(SEARCH("科学城",$C169))),20,IF(ISNUMBER(SEARCH("天府新区",$C169)),18,IF(OR(ISNUMBER(SEARCH("新川",$C169)),ISNUMBER(SEARCH("天府软件园",$C169)),ISNUMBER(SEARCH("高新南",$C169)),ISNUMBER(SEARCH("金融城",$C169))),12,5)))))</x:f>
      </x:c>
      <x:c r="Q169" s="220" t="str">
        <x:f>IF(COUNTA($A169:$M169)=0,"",SWITCH($H169,"核心",20,"强相关",16,"一般",10,"弱相关",5,"无",0,0))</x:f>
      </x:c>
      <x:c r="R169" s="220" t="str">
        <x:f>IF(COUNTA($A169:$M169)=0,"",SWITCH($I169,"核心",20,"强相关",16,"一般",10,"弱相关",5,"无",0,0))</x:f>
      </x:c>
      <x:c r="S169" s="220" t="str">
        <x:f>IF(COUNTA($A169:$M169)=0,"",SWITCH($J169,"高",15,"中高",12,"中",9,"低",4,"待核验",8,0))</x:f>
      </x:c>
      <x:c r="T169" s="220" t="str">
        <x:f>IF(COUNTA($A169:$M169)=0,"",SUM($O169:$S169))</x:f>
      </x:c>
      <x:c r="U169" s="221" t="str">
        <x:f>IF(COUNTA($A169:$M169)=0,"",IF($N169="","待补base",IF(OR($N169&lt;30,$T169&lt;70),"不投",IF($N169&lt;35,"备选",IF($T169&gt;=85,"优先约聊","备选")))))</x:f>
      </x:c>
      <x:c r="V169" s="195"/>
      <x:c r="W169" s="222"/>
      <x:c r="X169" s="195"/>
      <x:c r="Y169" s="180"/>
    </x:row>
    <x:row r="170" ht="15" hidden="0" customHeight="1">
      <x:c r="A170" s="217"/>
      <x:c r="B170" s="195"/>
      <x:c r="C170" s="195"/>
      <x:c r="D170" s="218"/>
      <x:c r="E170" s="195"/>
      <x:c r="F170" s="195"/>
      <x:c r="G170" s="195"/>
      <x:c r="H170" s="195"/>
      <x:c r="I170" s="195"/>
      <x:c r="J170" s="195"/>
      <x:c r="K170" s="219"/>
      <x:c r="L170" s="195"/>
      <x:c r="M170" s="195"/>
      <x:c r="N170" s="219"/>
      <x:c r="O170" s="220" t="str">
        <x:f>IF(COUNTA($A170:$M170)=0,"",IF($N170="","待补",IF($N170&gt;=40,25,IF($N170&gt;=35,22,IF($N170&gt;=30,10,0)))))</x:f>
      </x:c>
      <x:c r="P170" s="220" t="str">
        <x:f>IF(COUNTA($A170:$M170)=0,"",IF(ISNUMBER($D170),IF($D170&lt;=45,20,IF($D170&lt;=60,14,IF($D170&lt;=75,8,3))),IF(OR(ISNUMBER(SEARCH("兴隆湖",$C170)),ISNUMBER(SEARCH("科学城",$C170))),20,IF(ISNUMBER(SEARCH("天府新区",$C170)),18,IF(OR(ISNUMBER(SEARCH("新川",$C170)),ISNUMBER(SEARCH("天府软件园",$C170)),ISNUMBER(SEARCH("高新南",$C170)),ISNUMBER(SEARCH("金融城",$C170))),12,5)))))</x:f>
      </x:c>
      <x:c r="Q170" s="220" t="str">
        <x:f>IF(COUNTA($A170:$M170)=0,"",SWITCH($H170,"核心",20,"强相关",16,"一般",10,"弱相关",5,"无",0,0))</x:f>
      </x:c>
      <x:c r="R170" s="220" t="str">
        <x:f>IF(COUNTA($A170:$M170)=0,"",SWITCH($I170,"核心",20,"强相关",16,"一般",10,"弱相关",5,"无",0,0))</x:f>
      </x:c>
      <x:c r="S170" s="220" t="str">
        <x:f>IF(COUNTA($A170:$M170)=0,"",SWITCH($J170,"高",15,"中高",12,"中",9,"低",4,"待核验",8,0))</x:f>
      </x:c>
      <x:c r="T170" s="220" t="str">
        <x:f>IF(COUNTA($A170:$M170)=0,"",SUM($O170:$S170))</x:f>
      </x:c>
      <x:c r="U170" s="221" t="str">
        <x:f>IF(COUNTA($A170:$M170)=0,"",IF($N170="","待补base",IF(OR($N170&lt;30,$T170&lt;70),"不投",IF($N170&lt;35,"备选",IF($T170&gt;=85,"优先约聊","备选")))))</x:f>
      </x:c>
      <x:c r="V170" s="195"/>
      <x:c r="W170" s="222"/>
      <x:c r="X170" s="195"/>
      <x:c r="Y170" s="180"/>
    </x:row>
    <x:row r="171" ht="15" hidden="0" customHeight="1">
      <x:c r="A171" s="217"/>
      <x:c r="B171" s="195"/>
      <x:c r="C171" s="195"/>
      <x:c r="D171" s="218"/>
      <x:c r="E171" s="195"/>
      <x:c r="F171" s="195"/>
      <x:c r="G171" s="195"/>
      <x:c r="H171" s="195"/>
      <x:c r="I171" s="195"/>
      <x:c r="J171" s="195"/>
      <x:c r="K171" s="219"/>
      <x:c r="L171" s="195"/>
      <x:c r="M171" s="195"/>
      <x:c r="N171" s="219"/>
      <x:c r="O171" s="220" t="str">
        <x:f>IF(COUNTA($A171:$M171)=0,"",IF($N171="","待补",IF($N171&gt;=40,25,IF($N171&gt;=35,22,IF($N171&gt;=30,10,0)))))</x:f>
      </x:c>
      <x:c r="P171" s="220" t="str">
        <x:f>IF(COUNTA($A171:$M171)=0,"",IF(ISNUMBER($D171),IF($D171&lt;=45,20,IF($D171&lt;=60,14,IF($D171&lt;=75,8,3))),IF(OR(ISNUMBER(SEARCH("兴隆湖",$C171)),ISNUMBER(SEARCH("科学城",$C171))),20,IF(ISNUMBER(SEARCH("天府新区",$C171)),18,IF(OR(ISNUMBER(SEARCH("新川",$C171)),ISNUMBER(SEARCH("天府软件园",$C171)),ISNUMBER(SEARCH("高新南",$C171)),ISNUMBER(SEARCH("金融城",$C171))),12,5)))))</x:f>
      </x:c>
      <x:c r="Q171" s="220" t="str">
        <x:f>IF(COUNTA($A171:$M171)=0,"",SWITCH($H171,"核心",20,"强相关",16,"一般",10,"弱相关",5,"无",0,0))</x:f>
      </x:c>
      <x:c r="R171" s="220" t="str">
        <x:f>IF(COUNTA($A171:$M171)=0,"",SWITCH($I171,"核心",20,"强相关",16,"一般",10,"弱相关",5,"无",0,0))</x:f>
      </x:c>
      <x:c r="S171" s="220" t="str">
        <x:f>IF(COUNTA($A171:$M171)=0,"",SWITCH($J171,"高",15,"中高",12,"中",9,"低",4,"待核验",8,0))</x:f>
      </x:c>
      <x:c r="T171" s="220" t="str">
        <x:f>IF(COUNTA($A171:$M171)=0,"",SUM($O171:$S171))</x:f>
      </x:c>
      <x:c r="U171" s="221" t="str">
        <x:f>IF(COUNTA($A171:$M171)=0,"",IF($N171="","待补base",IF(OR($N171&lt;30,$T171&lt;70),"不投",IF($N171&lt;35,"备选",IF($T171&gt;=85,"优先约聊","备选")))))</x:f>
      </x:c>
      <x:c r="V171" s="195"/>
      <x:c r="W171" s="222"/>
      <x:c r="X171" s="195"/>
      <x:c r="Y171" s="180"/>
    </x:row>
    <x:row r="172" ht="15" hidden="0" customHeight="1">
      <x:c r="A172" s="217"/>
      <x:c r="B172" s="195"/>
      <x:c r="C172" s="195"/>
      <x:c r="D172" s="218"/>
      <x:c r="E172" s="195"/>
      <x:c r="F172" s="195"/>
      <x:c r="G172" s="195"/>
      <x:c r="H172" s="195"/>
      <x:c r="I172" s="195"/>
      <x:c r="J172" s="195"/>
      <x:c r="K172" s="219"/>
      <x:c r="L172" s="195"/>
      <x:c r="M172" s="195"/>
      <x:c r="N172" s="219"/>
      <x:c r="O172" s="220" t="str">
        <x:f>IF(COUNTA($A172:$M172)=0,"",IF($N172="","待补",IF($N172&gt;=40,25,IF($N172&gt;=35,22,IF($N172&gt;=30,10,0)))))</x:f>
      </x:c>
      <x:c r="P172" s="220" t="str">
        <x:f>IF(COUNTA($A172:$M172)=0,"",IF(ISNUMBER($D172),IF($D172&lt;=45,20,IF($D172&lt;=60,14,IF($D172&lt;=75,8,3))),IF(OR(ISNUMBER(SEARCH("兴隆湖",$C172)),ISNUMBER(SEARCH("科学城",$C172))),20,IF(ISNUMBER(SEARCH("天府新区",$C172)),18,IF(OR(ISNUMBER(SEARCH("新川",$C172)),ISNUMBER(SEARCH("天府软件园",$C172)),ISNUMBER(SEARCH("高新南",$C172)),ISNUMBER(SEARCH("金融城",$C172))),12,5)))))</x:f>
      </x:c>
      <x:c r="Q172" s="220" t="str">
        <x:f>IF(COUNTA($A172:$M172)=0,"",SWITCH($H172,"核心",20,"强相关",16,"一般",10,"弱相关",5,"无",0,0))</x:f>
      </x:c>
      <x:c r="R172" s="220" t="str">
        <x:f>IF(COUNTA($A172:$M172)=0,"",SWITCH($I172,"核心",20,"强相关",16,"一般",10,"弱相关",5,"无",0,0))</x:f>
      </x:c>
      <x:c r="S172" s="220" t="str">
        <x:f>IF(COUNTA($A172:$M172)=0,"",SWITCH($J172,"高",15,"中高",12,"中",9,"低",4,"待核验",8,0))</x:f>
      </x:c>
      <x:c r="T172" s="220" t="str">
        <x:f>IF(COUNTA($A172:$M172)=0,"",SUM($O172:$S172))</x:f>
      </x:c>
      <x:c r="U172" s="221" t="str">
        <x:f>IF(COUNTA($A172:$M172)=0,"",IF($N172="","待补base",IF(OR($N172&lt;30,$T172&lt;70),"不投",IF($N172&lt;35,"备选",IF($T172&gt;=85,"优先约聊","备选")))))</x:f>
      </x:c>
      <x:c r="V172" s="195"/>
      <x:c r="W172" s="222"/>
      <x:c r="X172" s="195"/>
      <x:c r="Y172" s="180"/>
    </x:row>
    <x:row r="173" ht="15" hidden="0" customHeight="1">
      <x:c r="A173" s="217"/>
      <x:c r="B173" s="195"/>
      <x:c r="C173" s="195"/>
      <x:c r="D173" s="218"/>
      <x:c r="E173" s="195"/>
      <x:c r="F173" s="195"/>
      <x:c r="G173" s="195"/>
      <x:c r="H173" s="195"/>
      <x:c r="I173" s="195"/>
      <x:c r="J173" s="195"/>
      <x:c r="K173" s="219"/>
      <x:c r="L173" s="195"/>
      <x:c r="M173" s="195"/>
      <x:c r="N173" s="219"/>
      <x:c r="O173" s="220" t="str">
        <x:f>IF(COUNTA($A173:$M173)=0,"",IF($N173="","待补",IF($N173&gt;=40,25,IF($N173&gt;=35,22,IF($N173&gt;=30,10,0)))))</x:f>
      </x:c>
      <x:c r="P173" s="220" t="str">
        <x:f>IF(COUNTA($A173:$M173)=0,"",IF(ISNUMBER($D173),IF($D173&lt;=45,20,IF($D173&lt;=60,14,IF($D173&lt;=75,8,3))),IF(OR(ISNUMBER(SEARCH("兴隆湖",$C173)),ISNUMBER(SEARCH("科学城",$C173))),20,IF(ISNUMBER(SEARCH("天府新区",$C173)),18,IF(OR(ISNUMBER(SEARCH("新川",$C173)),ISNUMBER(SEARCH("天府软件园",$C173)),ISNUMBER(SEARCH("高新南",$C173)),ISNUMBER(SEARCH("金融城",$C173))),12,5)))))</x:f>
      </x:c>
      <x:c r="Q173" s="220" t="str">
        <x:f>IF(COUNTA($A173:$M173)=0,"",SWITCH($H173,"核心",20,"强相关",16,"一般",10,"弱相关",5,"无",0,0))</x:f>
      </x:c>
      <x:c r="R173" s="220" t="str">
        <x:f>IF(COUNTA($A173:$M173)=0,"",SWITCH($I173,"核心",20,"强相关",16,"一般",10,"弱相关",5,"无",0,0))</x:f>
      </x:c>
      <x:c r="S173" s="220" t="str">
        <x:f>IF(COUNTA($A173:$M173)=0,"",SWITCH($J173,"高",15,"中高",12,"中",9,"低",4,"待核验",8,0))</x:f>
      </x:c>
      <x:c r="T173" s="220" t="str">
        <x:f>IF(COUNTA($A173:$M173)=0,"",SUM($O173:$S173))</x:f>
      </x:c>
      <x:c r="U173" s="221" t="str">
        <x:f>IF(COUNTA($A173:$M173)=0,"",IF($N173="","待补base",IF(OR($N173&lt;30,$T173&lt;70),"不投",IF($N173&lt;35,"备选",IF($T173&gt;=85,"优先约聊","备选")))))</x:f>
      </x:c>
      <x:c r="V173" s="195"/>
      <x:c r="W173" s="222"/>
      <x:c r="X173" s="195"/>
      <x:c r="Y173" s="180"/>
    </x:row>
    <x:row r="174" ht="15" hidden="0" customHeight="1">
      <x:c r="A174" s="217"/>
      <x:c r="B174" s="195"/>
      <x:c r="C174" s="195"/>
      <x:c r="D174" s="218"/>
      <x:c r="E174" s="195"/>
      <x:c r="F174" s="195"/>
      <x:c r="G174" s="195"/>
      <x:c r="H174" s="195"/>
      <x:c r="I174" s="195"/>
      <x:c r="J174" s="195"/>
      <x:c r="K174" s="219"/>
      <x:c r="L174" s="195"/>
      <x:c r="M174" s="195"/>
      <x:c r="N174" s="219"/>
      <x:c r="O174" s="220" t="str">
        <x:f>IF(COUNTA($A174:$M174)=0,"",IF($N174="","待补",IF($N174&gt;=40,25,IF($N174&gt;=35,22,IF($N174&gt;=30,10,0)))))</x:f>
      </x:c>
      <x:c r="P174" s="220" t="str">
        <x:f>IF(COUNTA($A174:$M174)=0,"",IF(ISNUMBER($D174),IF($D174&lt;=45,20,IF($D174&lt;=60,14,IF($D174&lt;=75,8,3))),IF(OR(ISNUMBER(SEARCH("兴隆湖",$C174)),ISNUMBER(SEARCH("科学城",$C174))),20,IF(ISNUMBER(SEARCH("天府新区",$C174)),18,IF(OR(ISNUMBER(SEARCH("新川",$C174)),ISNUMBER(SEARCH("天府软件园",$C174)),ISNUMBER(SEARCH("高新南",$C174)),ISNUMBER(SEARCH("金融城",$C174))),12,5)))))</x:f>
      </x:c>
      <x:c r="Q174" s="220" t="str">
        <x:f>IF(COUNTA($A174:$M174)=0,"",SWITCH($H174,"核心",20,"强相关",16,"一般",10,"弱相关",5,"无",0,0))</x:f>
      </x:c>
      <x:c r="R174" s="220" t="str">
        <x:f>IF(COUNTA($A174:$M174)=0,"",SWITCH($I174,"核心",20,"强相关",16,"一般",10,"弱相关",5,"无",0,0))</x:f>
      </x:c>
      <x:c r="S174" s="220" t="str">
        <x:f>IF(COUNTA($A174:$M174)=0,"",SWITCH($J174,"高",15,"中高",12,"中",9,"低",4,"待核验",8,0))</x:f>
      </x:c>
      <x:c r="T174" s="220" t="str">
        <x:f>IF(COUNTA($A174:$M174)=0,"",SUM($O174:$S174))</x:f>
      </x:c>
      <x:c r="U174" s="221" t="str">
        <x:f>IF(COUNTA($A174:$M174)=0,"",IF($N174="","待补base",IF(OR($N174&lt;30,$T174&lt;70),"不投",IF($N174&lt;35,"备选",IF($T174&gt;=85,"优先约聊","备选")))))</x:f>
      </x:c>
      <x:c r="V174" s="195"/>
      <x:c r="W174" s="222"/>
      <x:c r="X174" s="195"/>
      <x:c r="Y174" s="180"/>
    </x:row>
    <x:row r="175" ht="15" hidden="0" customHeight="1">
      <x:c r="A175" s="217"/>
      <x:c r="B175" s="195"/>
      <x:c r="C175" s="195"/>
      <x:c r="D175" s="218"/>
      <x:c r="E175" s="195"/>
      <x:c r="F175" s="195"/>
      <x:c r="G175" s="195"/>
      <x:c r="H175" s="195"/>
      <x:c r="I175" s="195"/>
      <x:c r="J175" s="195"/>
      <x:c r="K175" s="219"/>
      <x:c r="L175" s="195"/>
      <x:c r="M175" s="195"/>
      <x:c r="N175" s="219"/>
      <x:c r="O175" s="220" t="str">
        <x:f>IF(COUNTA($A175:$M175)=0,"",IF($N175="","待补",IF($N175&gt;=40,25,IF($N175&gt;=35,22,IF($N175&gt;=30,10,0)))))</x:f>
      </x:c>
      <x:c r="P175" s="220" t="str">
        <x:f>IF(COUNTA($A175:$M175)=0,"",IF(ISNUMBER($D175),IF($D175&lt;=45,20,IF($D175&lt;=60,14,IF($D175&lt;=75,8,3))),IF(OR(ISNUMBER(SEARCH("兴隆湖",$C175)),ISNUMBER(SEARCH("科学城",$C175))),20,IF(ISNUMBER(SEARCH("天府新区",$C175)),18,IF(OR(ISNUMBER(SEARCH("新川",$C175)),ISNUMBER(SEARCH("天府软件园",$C175)),ISNUMBER(SEARCH("高新南",$C175)),ISNUMBER(SEARCH("金融城",$C175))),12,5)))))</x:f>
      </x:c>
      <x:c r="Q175" s="220" t="str">
        <x:f>IF(COUNTA($A175:$M175)=0,"",SWITCH($H175,"核心",20,"强相关",16,"一般",10,"弱相关",5,"无",0,0))</x:f>
      </x:c>
      <x:c r="R175" s="220" t="str">
        <x:f>IF(COUNTA($A175:$M175)=0,"",SWITCH($I175,"核心",20,"强相关",16,"一般",10,"弱相关",5,"无",0,0))</x:f>
      </x:c>
      <x:c r="S175" s="220" t="str">
        <x:f>IF(COUNTA($A175:$M175)=0,"",SWITCH($J175,"高",15,"中高",12,"中",9,"低",4,"待核验",8,0))</x:f>
      </x:c>
      <x:c r="T175" s="220" t="str">
        <x:f>IF(COUNTA($A175:$M175)=0,"",SUM($O175:$S175))</x:f>
      </x:c>
      <x:c r="U175" s="221" t="str">
        <x:f>IF(COUNTA($A175:$M175)=0,"",IF($N175="","待补base",IF(OR($N175&lt;30,$T175&lt;70),"不投",IF($N175&lt;35,"备选",IF($T175&gt;=85,"优先约聊","备选")))))</x:f>
      </x:c>
      <x:c r="V175" s="195"/>
      <x:c r="W175" s="222"/>
      <x:c r="X175" s="195"/>
      <x:c r="Y175" s="180"/>
    </x:row>
    <x:row r="176" ht="15" hidden="0" customHeight="1">
      <x:c r="A176" s="217"/>
      <x:c r="B176" s="195"/>
      <x:c r="C176" s="195"/>
      <x:c r="D176" s="218"/>
      <x:c r="E176" s="195"/>
      <x:c r="F176" s="195"/>
      <x:c r="G176" s="195"/>
      <x:c r="H176" s="195"/>
      <x:c r="I176" s="195"/>
      <x:c r="J176" s="195"/>
      <x:c r="K176" s="219"/>
      <x:c r="L176" s="195"/>
      <x:c r="M176" s="195"/>
      <x:c r="N176" s="219"/>
      <x:c r="O176" s="220" t="str">
        <x:f>IF(COUNTA($A176:$M176)=0,"",IF($N176="","待补",IF($N176&gt;=40,25,IF($N176&gt;=35,22,IF($N176&gt;=30,10,0)))))</x:f>
      </x:c>
      <x:c r="P176" s="220" t="str">
        <x:f>IF(COUNTA($A176:$M176)=0,"",IF(ISNUMBER($D176),IF($D176&lt;=45,20,IF($D176&lt;=60,14,IF($D176&lt;=75,8,3))),IF(OR(ISNUMBER(SEARCH("兴隆湖",$C176)),ISNUMBER(SEARCH("科学城",$C176))),20,IF(ISNUMBER(SEARCH("天府新区",$C176)),18,IF(OR(ISNUMBER(SEARCH("新川",$C176)),ISNUMBER(SEARCH("天府软件园",$C176)),ISNUMBER(SEARCH("高新南",$C176)),ISNUMBER(SEARCH("金融城",$C176))),12,5)))))</x:f>
      </x:c>
      <x:c r="Q176" s="220" t="str">
        <x:f>IF(COUNTA($A176:$M176)=0,"",SWITCH($H176,"核心",20,"强相关",16,"一般",10,"弱相关",5,"无",0,0))</x:f>
      </x:c>
      <x:c r="R176" s="220" t="str">
        <x:f>IF(COUNTA($A176:$M176)=0,"",SWITCH($I176,"核心",20,"强相关",16,"一般",10,"弱相关",5,"无",0,0))</x:f>
      </x:c>
      <x:c r="S176" s="220" t="str">
        <x:f>IF(COUNTA($A176:$M176)=0,"",SWITCH($J176,"高",15,"中高",12,"中",9,"低",4,"待核验",8,0))</x:f>
      </x:c>
      <x:c r="T176" s="220" t="str">
        <x:f>IF(COUNTA($A176:$M176)=0,"",SUM($O176:$S176))</x:f>
      </x:c>
      <x:c r="U176" s="221" t="str">
        <x:f>IF(COUNTA($A176:$M176)=0,"",IF($N176="","待补base",IF(OR($N176&lt;30,$T176&lt;70),"不投",IF($N176&lt;35,"备选",IF($T176&gt;=85,"优先约聊","备选")))))</x:f>
      </x:c>
      <x:c r="V176" s="195"/>
      <x:c r="W176" s="222"/>
      <x:c r="X176" s="195"/>
      <x:c r="Y176" s="180"/>
    </x:row>
    <x:row r="177" ht="15" hidden="0" customHeight="1">
      <x:c r="A177" s="217"/>
      <x:c r="B177" s="195"/>
      <x:c r="C177" s="195"/>
      <x:c r="D177" s="218"/>
      <x:c r="E177" s="195"/>
      <x:c r="F177" s="195"/>
      <x:c r="G177" s="195"/>
      <x:c r="H177" s="195"/>
      <x:c r="I177" s="195"/>
      <x:c r="J177" s="195"/>
      <x:c r="K177" s="219"/>
      <x:c r="L177" s="195"/>
      <x:c r="M177" s="195"/>
      <x:c r="N177" s="219"/>
      <x:c r="O177" s="220" t="str">
        <x:f>IF(COUNTA($A177:$M177)=0,"",IF($N177="","待补",IF($N177&gt;=40,25,IF($N177&gt;=35,22,IF($N177&gt;=30,10,0)))))</x:f>
      </x:c>
      <x:c r="P177" s="220" t="str">
        <x:f>IF(COUNTA($A177:$M177)=0,"",IF(ISNUMBER($D177),IF($D177&lt;=45,20,IF($D177&lt;=60,14,IF($D177&lt;=75,8,3))),IF(OR(ISNUMBER(SEARCH("兴隆湖",$C177)),ISNUMBER(SEARCH("科学城",$C177))),20,IF(ISNUMBER(SEARCH("天府新区",$C177)),18,IF(OR(ISNUMBER(SEARCH("新川",$C177)),ISNUMBER(SEARCH("天府软件园",$C177)),ISNUMBER(SEARCH("高新南",$C177)),ISNUMBER(SEARCH("金融城",$C177))),12,5)))))</x:f>
      </x:c>
      <x:c r="Q177" s="220" t="str">
        <x:f>IF(COUNTA($A177:$M177)=0,"",SWITCH($H177,"核心",20,"强相关",16,"一般",10,"弱相关",5,"无",0,0))</x:f>
      </x:c>
      <x:c r="R177" s="220" t="str">
        <x:f>IF(COUNTA($A177:$M177)=0,"",SWITCH($I177,"核心",20,"强相关",16,"一般",10,"弱相关",5,"无",0,0))</x:f>
      </x:c>
      <x:c r="S177" s="220" t="str">
        <x:f>IF(COUNTA($A177:$M177)=0,"",SWITCH($J177,"高",15,"中高",12,"中",9,"低",4,"待核验",8,0))</x:f>
      </x:c>
      <x:c r="T177" s="220" t="str">
        <x:f>IF(COUNTA($A177:$M177)=0,"",SUM($O177:$S177))</x:f>
      </x:c>
      <x:c r="U177" s="221" t="str">
        <x:f>IF(COUNTA($A177:$M177)=0,"",IF($N177="","待补base",IF(OR($N177&lt;30,$T177&lt;70),"不投",IF($N177&lt;35,"备选",IF($T177&gt;=85,"优先约聊","备选")))))</x:f>
      </x:c>
      <x:c r="V177" s="195"/>
      <x:c r="W177" s="222"/>
      <x:c r="X177" s="195"/>
      <x:c r="Y177" s="180"/>
    </x:row>
    <x:row r="178" ht="15" hidden="0" customHeight="1">
      <x:c r="A178" s="217"/>
      <x:c r="B178" s="195"/>
      <x:c r="C178" s="195"/>
      <x:c r="D178" s="218"/>
      <x:c r="E178" s="195"/>
      <x:c r="F178" s="195"/>
      <x:c r="G178" s="195"/>
      <x:c r="H178" s="195"/>
      <x:c r="I178" s="195"/>
      <x:c r="J178" s="195"/>
      <x:c r="K178" s="219"/>
      <x:c r="L178" s="195"/>
      <x:c r="M178" s="195"/>
      <x:c r="N178" s="219"/>
      <x:c r="O178" s="220" t="str">
        <x:f>IF(COUNTA($A178:$M178)=0,"",IF($N178="","待补",IF($N178&gt;=40,25,IF($N178&gt;=35,22,IF($N178&gt;=30,10,0)))))</x:f>
      </x:c>
      <x:c r="P178" s="220" t="str">
        <x:f>IF(COUNTA($A178:$M178)=0,"",IF(ISNUMBER($D178),IF($D178&lt;=45,20,IF($D178&lt;=60,14,IF($D178&lt;=75,8,3))),IF(OR(ISNUMBER(SEARCH("兴隆湖",$C178)),ISNUMBER(SEARCH("科学城",$C178))),20,IF(ISNUMBER(SEARCH("天府新区",$C178)),18,IF(OR(ISNUMBER(SEARCH("新川",$C178)),ISNUMBER(SEARCH("天府软件园",$C178)),ISNUMBER(SEARCH("高新南",$C178)),ISNUMBER(SEARCH("金融城",$C178))),12,5)))))</x:f>
      </x:c>
      <x:c r="Q178" s="220" t="str">
        <x:f>IF(COUNTA($A178:$M178)=0,"",SWITCH($H178,"核心",20,"强相关",16,"一般",10,"弱相关",5,"无",0,0))</x:f>
      </x:c>
      <x:c r="R178" s="220" t="str">
        <x:f>IF(COUNTA($A178:$M178)=0,"",SWITCH($I178,"核心",20,"强相关",16,"一般",10,"弱相关",5,"无",0,0))</x:f>
      </x:c>
      <x:c r="S178" s="220" t="str">
        <x:f>IF(COUNTA($A178:$M178)=0,"",SWITCH($J178,"高",15,"中高",12,"中",9,"低",4,"待核验",8,0))</x:f>
      </x:c>
      <x:c r="T178" s="220" t="str">
        <x:f>IF(COUNTA($A178:$M178)=0,"",SUM($O178:$S178))</x:f>
      </x:c>
      <x:c r="U178" s="221" t="str">
        <x:f>IF(COUNTA($A178:$M178)=0,"",IF($N178="","待补base",IF(OR($N178&lt;30,$T178&lt;70),"不投",IF($N178&lt;35,"备选",IF($T178&gt;=85,"优先约聊","备选")))))</x:f>
      </x:c>
      <x:c r="V178" s="195"/>
      <x:c r="W178" s="222"/>
      <x:c r="X178" s="195"/>
      <x:c r="Y178" s="180"/>
    </x:row>
    <x:row r="179" ht="15" hidden="0" customHeight="1">
      <x:c r="A179" s="217"/>
      <x:c r="B179" s="195"/>
      <x:c r="C179" s="195"/>
      <x:c r="D179" s="218"/>
      <x:c r="E179" s="195"/>
      <x:c r="F179" s="195"/>
      <x:c r="G179" s="195"/>
      <x:c r="H179" s="195"/>
      <x:c r="I179" s="195"/>
      <x:c r="J179" s="195"/>
      <x:c r="K179" s="219"/>
      <x:c r="L179" s="195"/>
      <x:c r="M179" s="195"/>
      <x:c r="N179" s="219"/>
      <x:c r="O179" s="220" t="str">
        <x:f>IF(COUNTA($A179:$M179)=0,"",IF($N179="","待补",IF($N179&gt;=40,25,IF($N179&gt;=35,22,IF($N179&gt;=30,10,0)))))</x:f>
      </x:c>
      <x:c r="P179" s="220" t="str">
        <x:f>IF(COUNTA($A179:$M179)=0,"",IF(ISNUMBER($D179),IF($D179&lt;=45,20,IF($D179&lt;=60,14,IF($D179&lt;=75,8,3))),IF(OR(ISNUMBER(SEARCH("兴隆湖",$C179)),ISNUMBER(SEARCH("科学城",$C179))),20,IF(ISNUMBER(SEARCH("天府新区",$C179)),18,IF(OR(ISNUMBER(SEARCH("新川",$C179)),ISNUMBER(SEARCH("天府软件园",$C179)),ISNUMBER(SEARCH("高新南",$C179)),ISNUMBER(SEARCH("金融城",$C179))),12,5)))))</x:f>
      </x:c>
      <x:c r="Q179" s="220" t="str">
        <x:f>IF(COUNTA($A179:$M179)=0,"",SWITCH($H179,"核心",20,"强相关",16,"一般",10,"弱相关",5,"无",0,0))</x:f>
      </x:c>
      <x:c r="R179" s="220" t="str">
        <x:f>IF(COUNTA($A179:$M179)=0,"",SWITCH($I179,"核心",20,"强相关",16,"一般",10,"弱相关",5,"无",0,0))</x:f>
      </x:c>
      <x:c r="S179" s="220" t="str">
        <x:f>IF(COUNTA($A179:$M179)=0,"",SWITCH($J179,"高",15,"中高",12,"中",9,"低",4,"待核验",8,0))</x:f>
      </x:c>
      <x:c r="T179" s="220" t="str">
        <x:f>IF(COUNTA($A179:$M179)=0,"",SUM($O179:$S179))</x:f>
      </x:c>
      <x:c r="U179" s="221" t="str">
        <x:f>IF(COUNTA($A179:$M179)=0,"",IF($N179="","待补base",IF(OR($N179&lt;30,$T179&lt;70),"不投",IF($N179&lt;35,"备选",IF($T179&gt;=85,"优先约聊","备选")))))</x:f>
      </x:c>
      <x:c r="V179" s="195"/>
      <x:c r="W179" s="222"/>
      <x:c r="X179" s="195"/>
      <x:c r="Y179" s="180"/>
    </x:row>
    <x:row r="180" ht="15" hidden="0" customHeight="1">
      <x:c r="A180" s="217"/>
      <x:c r="B180" s="195"/>
      <x:c r="C180" s="195"/>
      <x:c r="D180" s="218"/>
      <x:c r="E180" s="195"/>
      <x:c r="F180" s="195"/>
      <x:c r="G180" s="195"/>
      <x:c r="H180" s="195"/>
      <x:c r="I180" s="195"/>
      <x:c r="J180" s="195"/>
      <x:c r="K180" s="219"/>
      <x:c r="L180" s="195"/>
      <x:c r="M180" s="195"/>
      <x:c r="N180" s="219"/>
      <x:c r="O180" s="220" t="str">
        <x:f>IF(COUNTA($A180:$M180)=0,"",IF($N180="","待补",IF($N180&gt;=40,25,IF($N180&gt;=35,22,IF($N180&gt;=30,10,0)))))</x:f>
      </x:c>
      <x:c r="P180" s="220" t="str">
        <x:f>IF(COUNTA($A180:$M180)=0,"",IF(ISNUMBER($D180),IF($D180&lt;=45,20,IF($D180&lt;=60,14,IF($D180&lt;=75,8,3))),IF(OR(ISNUMBER(SEARCH("兴隆湖",$C180)),ISNUMBER(SEARCH("科学城",$C180))),20,IF(ISNUMBER(SEARCH("天府新区",$C180)),18,IF(OR(ISNUMBER(SEARCH("新川",$C180)),ISNUMBER(SEARCH("天府软件园",$C180)),ISNUMBER(SEARCH("高新南",$C180)),ISNUMBER(SEARCH("金融城",$C180))),12,5)))))</x:f>
      </x:c>
      <x:c r="Q180" s="220" t="str">
        <x:f>IF(COUNTA($A180:$M180)=0,"",SWITCH($H180,"核心",20,"强相关",16,"一般",10,"弱相关",5,"无",0,0))</x:f>
      </x:c>
      <x:c r="R180" s="220" t="str">
        <x:f>IF(COUNTA($A180:$M180)=0,"",SWITCH($I180,"核心",20,"强相关",16,"一般",10,"弱相关",5,"无",0,0))</x:f>
      </x:c>
      <x:c r="S180" s="220" t="str">
        <x:f>IF(COUNTA($A180:$M180)=0,"",SWITCH($J180,"高",15,"中高",12,"中",9,"低",4,"待核验",8,0))</x:f>
      </x:c>
      <x:c r="T180" s="220" t="str">
        <x:f>IF(COUNTA($A180:$M180)=0,"",SUM($O180:$S180))</x:f>
      </x:c>
      <x:c r="U180" s="221" t="str">
        <x:f>IF(COUNTA($A180:$M180)=0,"",IF($N180="","待补base",IF(OR($N180&lt;30,$T180&lt;70),"不投",IF($N180&lt;35,"备选",IF($T180&gt;=85,"优先约聊","备选")))))</x:f>
      </x:c>
      <x:c r="V180" s="195"/>
      <x:c r="W180" s="222"/>
      <x:c r="X180" s="195"/>
      <x:c r="Y180" s="180"/>
    </x:row>
    <x:row r="181" ht="15" hidden="0" customHeight="1">
      <x:c r="A181" s="217"/>
      <x:c r="B181" s="195"/>
      <x:c r="C181" s="195"/>
      <x:c r="D181" s="218"/>
      <x:c r="E181" s="195"/>
      <x:c r="F181" s="195"/>
      <x:c r="G181" s="195"/>
      <x:c r="H181" s="195"/>
      <x:c r="I181" s="195"/>
      <x:c r="J181" s="195"/>
      <x:c r="K181" s="219"/>
      <x:c r="L181" s="195"/>
      <x:c r="M181" s="195"/>
      <x:c r="N181" s="219"/>
      <x:c r="O181" s="220" t="str">
        <x:f>IF(COUNTA($A181:$M181)=0,"",IF($N181="","待补",IF($N181&gt;=40,25,IF($N181&gt;=35,22,IF($N181&gt;=30,10,0)))))</x:f>
      </x:c>
      <x:c r="P181" s="220" t="str">
        <x:f>IF(COUNTA($A181:$M181)=0,"",IF(ISNUMBER($D181),IF($D181&lt;=45,20,IF($D181&lt;=60,14,IF($D181&lt;=75,8,3))),IF(OR(ISNUMBER(SEARCH("兴隆湖",$C181)),ISNUMBER(SEARCH("科学城",$C181))),20,IF(ISNUMBER(SEARCH("天府新区",$C181)),18,IF(OR(ISNUMBER(SEARCH("新川",$C181)),ISNUMBER(SEARCH("天府软件园",$C181)),ISNUMBER(SEARCH("高新南",$C181)),ISNUMBER(SEARCH("金融城",$C181))),12,5)))))</x:f>
      </x:c>
      <x:c r="Q181" s="220" t="str">
        <x:f>IF(COUNTA($A181:$M181)=0,"",SWITCH($H181,"核心",20,"强相关",16,"一般",10,"弱相关",5,"无",0,0))</x:f>
      </x:c>
      <x:c r="R181" s="220" t="str">
        <x:f>IF(COUNTA($A181:$M181)=0,"",SWITCH($I181,"核心",20,"强相关",16,"一般",10,"弱相关",5,"无",0,0))</x:f>
      </x:c>
      <x:c r="S181" s="220" t="str">
        <x:f>IF(COUNTA($A181:$M181)=0,"",SWITCH($J181,"高",15,"中高",12,"中",9,"低",4,"待核验",8,0))</x:f>
      </x:c>
      <x:c r="T181" s="220" t="str">
        <x:f>IF(COUNTA($A181:$M181)=0,"",SUM($O181:$S181))</x:f>
      </x:c>
      <x:c r="U181" s="221" t="str">
        <x:f>IF(COUNTA($A181:$M181)=0,"",IF($N181="","待补base",IF(OR($N181&lt;30,$T181&lt;70),"不投",IF($N181&lt;35,"备选",IF($T181&gt;=85,"优先约聊","备选")))))</x:f>
      </x:c>
      <x:c r="V181" s="195"/>
      <x:c r="W181" s="222"/>
      <x:c r="X181" s="195"/>
      <x:c r="Y181" s="180"/>
    </x:row>
    <x:row r="182" ht="15" hidden="0" customHeight="1">
      <x:c r="A182" s="217"/>
      <x:c r="B182" s="195"/>
      <x:c r="C182" s="195"/>
      <x:c r="D182" s="218"/>
      <x:c r="E182" s="195"/>
      <x:c r="F182" s="195"/>
      <x:c r="G182" s="195"/>
      <x:c r="H182" s="195"/>
      <x:c r="I182" s="195"/>
      <x:c r="J182" s="195"/>
      <x:c r="K182" s="219"/>
      <x:c r="L182" s="195"/>
      <x:c r="M182" s="195"/>
      <x:c r="N182" s="219"/>
      <x:c r="O182" s="220" t="str">
        <x:f>IF(COUNTA($A182:$M182)=0,"",IF($N182="","待补",IF($N182&gt;=40,25,IF($N182&gt;=35,22,IF($N182&gt;=30,10,0)))))</x:f>
      </x:c>
      <x:c r="P182" s="220" t="str">
        <x:f>IF(COUNTA($A182:$M182)=0,"",IF(ISNUMBER($D182),IF($D182&lt;=45,20,IF($D182&lt;=60,14,IF($D182&lt;=75,8,3))),IF(OR(ISNUMBER(SEARCH("兴隆湖",$C182)),ISNUMBER(SEARCH("科学城",$C182))),20,IF(ISNUMBER(SEARCH("天府新区",$C182)),18,IF(OR(ISNUMBER(SEARCH("新川",$C182)),ISNUMBER(SEARCH("天府软件园",$C182)),ISNUMBER(SEARCH("高新南",$C182)),ISNUMBER(SEARCH("金融城",$C182))),12,5)))))</x:f>
      </x:c>
      <x:c r="Q182" s="220" t="str">
        <x:f>IF(COUNTA($A182:$M182)=0,"",SWITCH($H182,"核心",20,"强相关",16,"一般",10,"弱相关",5,"无",0,0))</x:f>
      </x:c>
      <x:c r="R182" s="220" t="str">
        <x:f>IF(COUNTA($A182:$M182)=0,"",SWITCH($I182,"核心",20,"强相关",16,"一般",10,"弱相关",5,"无",0,0))</x:f>
      </x:c>
      <x:c r="S182" s="220" t="str">
        <x:f>IF(COUNTA($A182:$M182)=0,"",SWITCH($J182,"高",15,"中高",12,"中",9,"低",4,"待核验",8,0))</x:f>
      </x:c>
      <x:c r="T182" s="220" t="str">
        <x:f>IF(COUNTA($A182:$M182)=0,"",SUM($O182:$S182))</x:f>
      </x:c>
      <x:c r="U182" s="221" t="str">
        <x:f>IF(COUNTA($A182:$M182)=0,"",IF($N182="","待补base",IF(OR($N182&lt;30,$T182&lt;70),"不投",IF($N182&lt;35,"备选",IF($T182&gt;=85,"优先约聊","备选")))))</x:f>
      </x:c>
      <x:c r="V182" s="195"/>
      <x:c r="W182" s="222"/>
      <x:c r="X182" s="195"/>
      <x:c r="Y182" s="180"/>
    </x:row>
    <x:row r="183" ht="15" hidden="0" customHeight="1">
      <x:c r="A183" s="217"/>
      <x:c r="B183" s="195"/>
      <x:c r="C183" s="195"/>
      <x:c r="D183" s="218"/>
      <x:c r="E183" s="195"/>
      <x:c r="F183" s="195"/>
      <x:c r="G183" s="195"/>
      <x:c r="H183" s="195"/>
      <x:c r="I183" s="195"/>
      <x:c r="J183" s="195"/>
      <x:c r="K183" s="219"/>
      <x:c r="L183" s="195"/>
      <x:c r="M183" s="195"/>
      <x:c r="N183" s="219"/>
      <x:c r="O183" s="220" t="str">
        <x:f>IF(COUNTA($A183:$M183)=0,"",IF($N183="","待补",IF($N183&gt;=40,25,IF($N183&gt;=35,22,IF($N183&gt;=30,10,0)))))</x:f>
      </x:c>
      <x:c r="P183" s="220" t="str">
        <x:f>IF(COUNTA($A183:$M183)=0,"",IF(ISNUMBER($D183),IF($D183&lt;=45,20,IF($D183&lt;=60,14,IF($D183&lt;=75,8,3))),IF(OR(ISNUMBER(SEARCH("兴隆湖",$C183)),ISNUMBER(SEARCH("科学城",$C183))),20,IF(ISNUMBER(SEARCH("天府新区",$C183)),18,IF(OR(ISNUMBER(SEARCH("新川",$C183)),ISNUMBER(SEARCH("天府软件园",$C183)),ISNUMBER(SEARCH("高新南",$C183)),ISNUMBER(SEARCH("金融城",$C183))),12,5)))))</x:f>
      </x:c>
      <x:c r="Q183" s="220" t="str">
        <x:f>IF(COUNTA($A183:$M183)=0,"",SWITCH($H183,"核心",20,"强相关",16,"一般",10,"弱相关",5,"无",0,0))</x:f>
      </x:c>
      <x:c r="R183" s="220" t="str">
        <x:f>IF(COUNTA($A183:$M183)=0,"",SWITCH($I183,"核心",20,"强相关",16,"一般",10,"弱相关",5,"无",0,0))</x:f>
      </x:c>
      <x:c r="S183" s="220" t="str">
        <x:f>IF(COUNTA($A183:$M183)=0,"",SWITCH($J183,"高",15,"中高",12,"中",9,"低",4,"待核验",8,0))</x:f>
      </x:c>
      <x:c r="T183" s="220" t="str">
        <x:f>IF(COUNTA($A183:$M183)=0,"",SUM($O183:$S183))</x:f>
      </x:c>
      <x:c r="U183" s="221" t="str">
        <x:f>IF(COUNTA($A183:$M183)=0,"",IF($N183="","待补base",IF(OR($N183&lt;30,$T183&lt;70),"不投",IF($N183&lt;35,"备选",IF($T183&gt;=85,"优先约聊","备选")))))</x:f>
      </x:c>
      <x:c r="V183" s="195"/>
      <x:c r="W183" s="222"/>
      <x:c r="X183" s="195"/>
      <x:c r="Y183" s="180"/>
    </x:row>
    <x:row r="184" ht="15" hidden="0" customHeight="1">
      <x:c r="A184" s="217"/>
      <x:c r="B184" s="195"/>
      <x:c r="C184" s="195"/>
      <x:c r="D184" s="218"/>
      <x:c r="E184" s="195"/>
      <x:c r="F184" s="195"/>
      <x:c r="G184" s="195"/>
      <x:c r="H184" s="195"/>
      <x:c r="I184" s="195"/>
      <x:c r="J184" s="195"/>
      <x:c r="K184" s="219"/>
      <x:c r="L184" s="195"/>
      <x:c r="M184" s="195"/>
      <x:c r="N184" s="219"/>
      <x:c r="O184" s="220" t="str">
        <x:f>IF(COUNTA($A184:$M184)=0,"",IF($N184="","待补",IF($N184&gt;=40,25,IF($N184&gt;=35,22,IF($N184&gt;=30,10,0)))))</x:f>
      </x:c>
      <x:c r="P184" s="220" t="str">
        <x:f>IF(COUNTA($A184:$M184)=0,"",IF(ISNUMBER($D184),IF($D184&lt;=45,20,IF($D184&lt;=60,14,IF($D184&lt;=75,8,3))),IF(OR(ISNUMBER(SEARCH("兴隆湖",$C184)),ISNUMBER(SEARCH("科学城",$C184))),20,IF(ISNUMBER(SEARCH("天府新区",$C184)),18,IF(OR(ISNUMBER(SEARCH("新川",$C184)),ISNUMBER(SEARCH("天府软件园",$C184)),ISNUMBER(SEARCH("高新南",$C184)),ISNUMBER(SEARCH("金融城",$C184))),12,5)))))</x:f>
      </x:c>
      <x:c r="Q184" s="220" t="str">
        <x:f>IF(COUNTA($A184:$M184)=0,"",SWITCH($H184,"核心",20,"强相关",16,"一般",10,"弱相关",5,"无",0,0))</x:f>
      </x:c>
      <x:c r="R184" s="220" t="str">
        <x:f>IF(COUNTA($A184:$M184)=0,"",SWITCH($I184,"核心",20,"强相关",16,"一般",10,"弱相关",5,"无",0,0))</x:f>
      </x:c>
      <x:c r="S184" s="220" t="str">
        <x:f>IF(COUNTA($A184:$M184)=0,"",SWITCH($J184,"高",15,"中高",12,"中",9,"低",4,"待核验",8,0))</x:f>
      </x:c>
      <x:c r="T184" s="220" t="str">
        <x:f>IF(COUNTA($A184:$M184)=0,"",SUM($O184:$S184))</x:f>
      </x:c>
      <x:c r="U184" s="221" t="str">
        <x:f>IF(COUNTA($A184:$M184)=0,"",IF($N184="","待补base",IF(OR($N184&lt;30,$T184&lt;70),"不投",IF($N184&lt;35,"备选",IF($T184&gt;=85,"优先约聊","备选")))))</x:f>
      </x:c>
      <x:c r="V184" s="195"/>
      <x:c r="W184" s="222"/>
      <x:c r="X184" s="195"/>
      <x:c r="Y184" s="180"/>
    </x:row>
    <x:row r="185" ht="15" hidden="0" customHeight="1">
      <x:c r="A185" s="217"/>
      <x:c r="B185" s="195"/>
      <x:c r="C185" s="195"/>
      <x:c r="D185" s="218"/>
      <x:c r="E185" s="195"/>
      <x:c r="F185" s="195"/>
      <x:c r="G185" s="195"/>
      <x:c r="H185" s="195"/>
      <x:c r="I185" s="195"/>
      <x:c r="J185" s="195"/>
      <x:c r="K185" s="219"/>
      <x:c r="L185" s="195"/>
      <x:c r="M185" s="195"/>
      <x:c r="N185" s="219"/>
      <x:c r="O185" s="220" t="str">
        <x:f>IF(COUNTA($A185:$M185)=0,"",IF($N185="","待补",IF($N185&gt;=40,25,IF($N185&gt;=35,22,IF($N185&gt;=30,10,0)))))</x:f>
      </x:c>
      <x:c r="P185" s="220" t="str">
        <x:f>IF(COUNTA($A185:$M185)=0,"",IF(ISNUMBER($D185),IF($D185&lt;=45,20,IF($D185&lt;=60,14,IF($D185&lt;=75,8,3))),IF(OR(ISNUMBER(SEARCH("兴隆湖",$C185)),ISNUMBER(SEARCH("科学城",$C185))),20,IF(ISNUMBER(SEARCH("天府新区",$C185)),18,IF(OR(ISNUMBER(SEARCH("新川",$C185)),ISNUMBER(SEARCH("天府软件园",$C185)),ISNUMBER(SEARCH("高新南",$C185)),ISNUMBER(SEARCH("金融城",$C185))),12,5)))))</x:f>
      </x:c>
      <x:c r="Q185" s="220" t="str">
        <x:f>IF(COUNTA($A185:$M185)=0,"",SWITCH($H185,"核心",20,"强相关",16,"一般",10,"弱相关",5,"无",0,0))</x:f>
      </x:c>
      <x:c r="R185" s="220" t="str">
        <x:f>IF(COUNTA($A185:$M185)=0,"",SWITCH($I185,"核心",20,"强相关",16,"一般",10,"弱相关",5,"无",0,0))</x:f>
      </x:c>
      <x:c r="S185" s="220" t="str">
        <x:f>IF(COUNTA($A185:$M185)=0,"",SWITCH($J185,"高",15,"中高",12,"中",9,"低",4,"待核验",8,0))</x:f>
      </x:c>
      <x:c r="T185" s="220" t="str">
        <x:f>IF(COUNTA($A185:$M185)=0,"",SUM($O185:$S185))</x:f>
      </x:c>
      <x:c r="U185" s="221" t="str">
        <x:f>IF(COUNTA($A185:$M185)=0,"",IF($N185="","待补base",IF(OR($N185&lt;30,$T185&lt;70),"不投",IF($N185&lt;35,"备选",IF($T185&gt;=85,"优先约聊","备选")))))</x:f>
      </x:c>
      <x:c r="V185" s="195"/>
      <x:c r="W185" s="222"/>
      <x:c r="X185" s="195"/>
      <x:c r="Y185" s="180"/>
    </x:row>
    <x:row r="186" ht="15" hidden="0" customHeight="1">
      <x:c r="A186" s="217"/>
      <x:c r="B186" s="195"/>
      <x:c r="C186" s="195"/>
      <x:c r="D186" s="218"/>
      <x:c r="E186" s="195"/>
      <x:c r="F186" s="195"/>
      <x:c r="G186" s="195"/>
      <x:c r="H186" s="195"/>
      <x:c r="I186" s="195"/>
      <x:c r="J186" s="195"/>
      <x:c r="K186" s="219"/>
      <x:c r="L186" s="195"/>
      <x:c r="M186" s="195"/>
      <x:c r="N186" s="219"/>
      <x:c r="O186" s="220" t="str">
        <x:f>IF(COUNTA($A186:$M186)=0,"",IF($N186="","待补",IF($N186&gt;=40,25,IF($N186&gt;=35,22,IF($N186&gt;=30,10,0)))))</x:f>
      </x:c>
      <x:c r="P186" s="220" t="str">
        <x:f>IF(COUNTA($A186:$M186)=0,"",IF(ISNUMBER($D186),IF($D186&lt;=45,20,IF($D186&lt;=60,14,IF($D186&lt;=75,8,3))),IF(OR(ISNUMBER(SEARCH("兴隆湖",$C186)),ISNUMBER(SEARCH("科学城",$C186))),20,IF(ISNUMBER(SEARCH("天府新区",$C186)),18,IF(OR(ISNUMBER(SEARCH("新川",$C186)),ISNUMBER(SEARCH("天府软件园",$C186)),ISNUMBER(SEARCH("高新南",$C186)),ISNUMBER(SEARCH("金融城",$C186))),12,5)))))</x:f>
      </x:c>
      <x:c r="Q186" s="220" t="str">
        <x:f>IF(COUNTA($A186:$M186)=0,"",SWITCH($H186,"核心",20,"强相关",16,"一般",10,"弱相关",5,"无",0,0))</x:f>
      </x:c>
      <x:c r="R186" s="220" t="str">
        <x:f>IF(COUNTA($A186:$M186)=0,"",SWITCH($I186,"核心",20,"强相关",16,"一般",10,"弱相关",5,"无",0,0))</x:f>
      </x:c>
      <x:c r="S186" s="220" t="str">
        <x:f>IF(COUNTA($A186:$M186)=0,"",SWITCH($J186,"高",15,"中高",12,"中",9,"低",4,"待核验",8,0))</x:f>
      </x:c>
      <x:c r="T186" s="220" t="str">
        <x:f>IF(COUNTA($A186:$M186)=0,"",SUM($O186:$S186))</x:f>
      </x:c>
      <x:c r="U186" s="221" t="str">
        <x:f>IF(COUNTA($A186:$M186)=0,"",IF($N186="","待补base",IF(OR($N186&lt;30,$T186&lt;70),"不投",IF($N186&lt;35,"备选",IF($T186&gt;=85,"优先约聊","备选")))))</x:f>
      </x:c>
      <x:c r="V186" s="195"/>
      <x:c r="W186" s="222"/>
      <x:c r="X186" s="195"/>
      <x:c r="Y186" s="180"/>
    </x:row>
    <x:row r="187" ht="15" hidden="0" customHeight="1">
      <x:c r="A187" s="217"/>
      <x:c r="B187" s="195"/>
      <x:c r="C187" s="195"/>
      <x:c r="D187" s="218"/>
      <x:c r="E187" s="195"/>
      <x:c r="F187" s="195"/>
      <x:c r="G187" s="195"/>
      <x:c r="H187" s="195"/>
      <x:c r="I187" s="195"/>
      <x:c r="J187" s="195"/>
      <x:c r="K187" s="219"/>
      <x:c r="L187" s="195"/>
      <x:c r="M187" s="195"/>
      <x:c r="N187" s="219"/>
      <x:c r="O187" s="220" t="str">
        <x:f>IF(COUNTA($A187:$M187)=0,"",IF($N187="","待补",IF($N187&gt;=40,25,IF($N187&gt;=35,22,IF($N187&gt;=30,10,0)))))</x:f>
      </x:c>
      <x:c r="P187" s="220" t="str">
        <x:f>IF(COUNTA($A187:$M187)=0,"",IF(ISNUMBER($D187),IF($D187&lt;=45,20,IF($D187&lt;=60,14,IF($D187&lt;=75,8,3))),IF(OR(ISNUMBER(SEARCH("兴隆湖",$C187)),ISNUMBER(SEARCH("科学城",$C187))),20,IF(ISNUMBER(SEARCH("天府新区",$C187)),18,IF(OR(ISNUMBER(SEARCH("新川",$C187)),ISNUMBER(SEARCH("天府软件园",$C187)),ISNUMBER(SEARCH("高新南",$C187)),ISNUMBER(SEARCH("金融城",$C187))),12,5)))))</x:f>
      </x:c>
      <x:c r="Q187" s="220" t="str">
        <x:f>IF(COUNTA($A187:$M187)=0,"",SWITCH($H187,"核心",20,"强相关",16,"一般",10,"弱相关",5,"无",0,0))</x:f>
      </x:c>
      <x:c r="R187" s="220" t="str">
        <x:f>IF(COUNTA($A187:$M187)=0,"",SWITCH($I187,"核心",20,"强相关",16,"一般",10,"弱相关",5,"无",0,0))</x:f>
      </x:c>
      <x:c r="S187" s="220" t="str">
        <x:f>IF(COUNTA($A187:$M187)=0,"",SWITCH($J187,"高",15,"中高",12,"中",9,"低",4,"待核验",8,0))</x:f>
      </x:c>
      <x:c r="T187" s="220" t="str">
        <x:f>IF(COUNTA($A187:$M187)=0,"",SUM($O187:$S187))</x:f>
      </x:c>
      <x:c r="U187" s="221" t="str">
        <x:f>IF(COUNTA($A187:$M187)=0,"",IF($N187="","待补base",IF(OR($N187&lt;30,$T187&lt;70),"不投",IF($N187&lt;35,"备选",IF($T187&gt;=85,"优先约聊","备选")))))</x:f>
      </x:c>
      <x:c r="V187" s="195"/>
      <x:c r="W187" s="222"/>
      <x:c r="X187" s="195"/>
      <x:c r="Y187" s="180"/>
    </x:row>
    <x:row r="188" ht="15" hidden="0" customHeight="1">
      <x:c r="A188" s="217"/>
      <x:c r="B188" s="195"/>
      <x:c r="C188" s="195"/>
      <x:c r="D188" s="218"/>
      <x:c r="E188" s="195"/>
      <x:c r="F188" s="195"/>
      <x:c r="G188" s="195"/>
      <x:c r="H188" s="195"/>
      <x:c r="I188" s="195"/>
      <x:c r="J188" s="195"/>
      <x:c r="K188" s="219"/>
      <x:c r="L188" s="195"/>
      <x:c r="M188" s="195"/>
      <x:c r="N188" s="219"/>
      <x:c r="O188" s="220" t="str">
        <x:f>IF(COUNTA($A188:$M188)=0,"",IF($N188="","待补",IF($N188&gt;=40,25,IF($N188&gt;=35,22,IF($N188&gt;=30,10,0)))))</x:f>
      </x:c>
      <x:c r="P188" s="220" t="str">
        <x:f>IF(COUNTA($A188:$M188)=0,"",IF(ISNUMBER($D188),IF($D188&lt;=45,20,IF($D188&lt;=60,14,IF($D188&lt;=75,8,3))),IF(OR(ISNUMBER(SEARCH("兴隆湖",$C188)),ISNUMBER(SEARCH("科学城",$C188))),20,IF(ISNUMBER(SEARCH("天府新区",$C188)),18,IF(OR(ISNUMBER(SEARCH("新川",$C188)),ISNUMBER(SEARCH("天府软件园",$C188)),ISNUMBER(SEARCH("高新南",$C188)),ISNUMBER(SEARCH("金融城",$C188))),12,5)))))</x:f>
      </x:c>
      <x:c r="Q188" s="220" t="str">
        <x:f>IF(COUNTA($A188:$M188)=0,"",SWITCH($H188,"核心",20,"强相关",16,"一般",10,"弱相关",5,"无",0,0))</x:f>
      </x:c>
      <x:c r="R188" s="220" t="str">
        <x:f>IF(COUNTA($A188:$M188)=0,"",SWITCH($I188,"核心",20,"强相关",16,"一般",10,"弱相关",5,"无",0,0))</x:f>
      </x:c>
      <x:c r="S188" s="220" t="str">
        <x:f>IF(COUNTA($A188:$M188)=0,"",SWITCH($J188,"高",15,"中高",12,"中",9,"低",4,"待核验",8,0))</x:f>
      </x:c>
      <x:c r="T188" s="220" t="str">
        <x:f>IF(COUNTA($A188:$M188)=0,"",SUM($O188:$S188))</x:f>
      </x:c>
      <x:c r="U188" s="221" t="str">
        <x:f>IF(COUNTA($A188:$M188)=0,"",IF($N188="","待补base",IF(OR($N188&lt;30,$T188&lt;70),"不投",IF($N188&lt;35,"备选",IF($T188&gt;=85,"优先约聊","备选")))))</x:f>
      </x:c>
      <x:c r="V188" s="195"/>
      <x:c r="W188" s="222"/>
      <x:c r="X188" s="195"/>
      <x:c r="Y188" s="180"/>
    </x:row>
    <x:row r="189" ht="15" hidden="0" customHeight="1">
      <x:c r="A189" s="217"/>
      <x:c r="B189" s="195"/>
      <x:c r="C189" s="195"/>
      <x:c r="D189" s="218"/>
      <x:c r="E189" s="195"/>
      <x:c r="F189" s="195"/>
      <x:c r="G189" s="195"/>
      <x:c r="H189" s="195"/>
      <x:c r="I189" s="195"/>
      <x:c r="J189" s="195"/>
      <x:c r="K189" s="219"/>
      <x:c r="L189" s="195"/>
      <x:c r="M189" s="195"/>
      <x:c r="N189" s="219"/>
      <x:c r="O189" s="220" t="str">
        <x:f>IF(COUNTA($A189:$M189)=0,"",IF($N189="","待补",IF($N189&gt;=40,25,IF($N189&gt;=35,22,IF($N189&gt;=30,10,0)))))</x:f>
      </x:c>
      <x:c r="P189" s="220" t="str">
        <x:f>IF(COUNTA($A189:$M189)=0,"",IF(ISNUMBER($D189),IF($D189&lt;=45,20,IF($D189&lt;=60,14,IF($D189&lt;=75,8,3))),IF(OR(ISNUMBER(SEARCH("兴隆湖",$C189)),ISNUMBER(SEARCH("科学城",$C189))),20,IF(ISNUMBER(SEARCH("天府新区",$C189)),18,IF(OR(ISNUMBER(SEARCH("新川",$C189)),ISNUMBER(SEARCH("天府软件园",$C189)),ISNUMBER(SEARCH("高新南",$C189)),ISNUMBER(SEARCH("金融城",$C189))),12,5)))))</x:f>
      </x:c>
      <x:c r="Q189" s="220" t="str">
        <x:f>IF(COUNTA($A189:$M189)=0,"",SWITCH($H189,"核心",20,"强相关",16,"一般",10,"弱相关",5,"无",0,0))</x:f>
      </x:c>
      <x:c r="R189" s="220" t="str">
        <x:f>IF(COUNTA($A189:$M189)=0,"",SWITCH($I189,"核心",20,"强相关",16,"一般",10,"弱相关",5,"无",0,0))</x:f>
      </x:c>
      <x:c r="S189" s="220" t="str">
        <x:f>IF(COUNTA($A189:$M189)=0,"",SWITCH($J189,"高",15,"中高",12,"中",9,"低",4,"待核验",8,0))</x:f>
      </x:c>
      <x:c r="T189" s="220" t="str">
        <x:f>IF(COUNTA($A189:$M189)=0,"",SUM($O189:$S189))</x:f>
      </x:c>
      <x:c r="U189" s="221" t="str">
        <x:f>IF(COUNTA($A189:$M189)=0,"",IF($N189="","待补base",IF(OR($N189&lt;30,$T189&lt;70),"不投",IF($N189&lt;35,"备选",IF($T189&gt;=85,"优先约聊","备选")))))</x:f>
      </x:c>
      <x:c r="V189" s="195"/>
      <x:c r="W189" s="222"/>
      <x:c r="X189" s="195"/>
      <x:c r="Y189" s="180"/>
    </x:row>
    <x:row r="190" ht="15" hidden="0" customHeight="1">
      <x:c r="A190" s="217"/>
      <x:c r="B190" s="195"/>
      <x:c r="C190" s="195"/>
      <x:c r="D190" s="218"/>
      <x:c r="E190" s="195"/>
      <x:c r="F190" s="195"/>
      <x:c r="G190" s="195"/>
      <x:c r="H190" s="195"/>
      <x:c r="I190" s="195"/>
      <x:c r="J190" s="195"/>
      <x:c r="K190" s="219"/>
      <x:c r="L190" s="195"/>
      <x:c r="M190" s="195"/>
      <x:c r="N190" s="219"/>
      <x:c r="O190" s="220" t="str">
        <x:f>IF(COUNTA($A190:$M190)=0,"",IF($N190="","待补",IF($N190&gt;=40,25,IF($N190&gt;=35,22,IF($N190&gt;=30,10,0)))))</x:f>
      </x:c>
      <x:c r="P190" s="220" t="str">
        <x:f>IF(COUNTA($A190:$M190)=0,"",IF(ISNUMBER($D190),IF($D190&lt;=45,20,IF($D190&lt;=60,14,IF($D190&lt;=75,8,3))),IF(OR(ISNUMBER(SEARCH("兴隆湖",$C190)),ISNUMBER(SEARCH("科学城",$C190))),20,IF(ISNUMBER(SEARCH("天府新区",$C190)),18,IF(OR(ISNUMBER(SEARCH("新川",$C190)),ISNUMBER(SEARCH("天府软件园",$C190)),ISNUMBER(SEARCH("高新南",$C190)),ISNUMBER(SEARCH("金融城",$C190))),12,5)))))</x:f>
      </x:c>
      <x:c r="Q190" s="220" t="str">
        <x:f>IF(COUNTA($A190:$M190)=0,"",SWITCH($H190,"核心",20,"强相关",16,"一般",10,"弱相关",5,"无",0,0))</x:f>
      </x:c>
      <x:c r="R190" s="220" t="str">
        <x:f>IF(COUNTA($A190:$M190)=0,"",SWITCH($I190,"核心",20,"强相关",16,"一般",10,"弱相关",5,"无",0,0))</x:f>
      </x:c>
      <x:c r="S190" s="220" t="str">
        <x:f>IF(COUNTA($A190:$M190)=0,"",SWITCH($J190,"高",15,"中高",12,"中",9,"低",4,"待核验",8,0))</x:f>
      </x:c>
      <x:c r="T190" s="220" t="str">
        <x:f>IF(COUNTA($A190:$M190)=0,"",SUM($O190:$S190))</x:f>
      </x:c>
      <x:c r="U190" s="221" t="str">
        <x:f>IF(COUNTA($A190:$M190)=0,"",IF($N190="","待补base",IF(OR($N190&lt;30,$T190&lt;70),"不投",IF($N190&lt;35,"备选",IF($T190&gt;=85,"优先约聊","备选")))))</x:f>
      </x:c>
      <x:c r="V190" s="195"/>
      <x:c r="W190" s="222"/>
      <x:c r="X190" s="195"/>
      <x:c r="Y190" s="180"/>
    </x:row>
    <x:row r="191" ht="15" hidden="0" customHeight="1">
      <x:c r="A191" s="217"/>
      <x:c r="B191" s="195"/>
      <x:c r="C191" s="195"/>
      <x:c r="D191" s="218"/>
      <x:c r="E191" s="195"/>
      <x:c r="F191" s="195"/>
      <x:c r="G191" s="195"/>
      <x:c r="H191" s="195"/>
      <x:c r="I191" s="195"/>
      <x:c r="J191" s="195"/>
      <x:c r="K191" s="219"/>
      <x:c r="L191" s="195"/>
      <x:c r="M191" s="195"/>
      <x:c r="N191" s="219"/>
      <x:c r="O191" s="220" t="str">
        <x:f>IF(COUNTA($A191:$M191)=0,"",IF($N191="","待补",IF($N191&gt;=40,25,IF($N191&gt;=35,22,IF($N191&gt;=30,10,0)))))</x:f>
      </x:c>
      <x:c r="P191" s="220" t="str">
        <x:f>IF(COUNTA($A191:$M191)=0,"",IF(ISNUMBER($D191),IF($D191&lt;=45,20,IF($D191&lt;=60,14,IF($D191&lt;=75,8,3))),IF(OR(ISNUMBER(SEARCH("兴隆湖",$C191)),ISNUMBER(SEARCH("科学城",$C191))),20,IF(ISNUMBER(SEARCH("天府新区",$C191)),18,IF(OR(ISNUMBER(SEARCH("新川",$C191)),ISNUMBER(SEARCH("天府软件园",$C191)),ISNUMBER(SEARCH("高新南",$C191)),ISNUMBER(SEARCH("金融城",$C191))),12,5)))))</x:f>
      </x:c>
      <x:c r="Q191" s="220" t="str">
        <x:f>IF(COUNTA($A191:$M191)=0,"",SWITCH($H191,"核心",20,"强相关",16,"一般",10,"弱相关",5,"无",0,0))</x:f>
      </x:c>
      <x:c r="R191" s="220" t="str">
        <x:f>IF(COUNTA($A191:$M191)=0,"",SWITCH($I191,"核心",20,"强相关",16,"一般",10,"弱相关",5,"无",0,0))</x:f>
      </x:c>
      <x:c r="S191" s="220" t="str">
        <x:f>IF(COUNTA($A191:$M191)=0,"",SWITCH($J191,"高",15,"中高",12,"中",9,"低",4,"待核验",8,0))</x:f>
      </x:c>
      <x:c r="T191" s="220" t="str">
        <x:f>IF(COUNTA($A191:$M191)=0,"",SUM($O191:$S191))</x:f>
      </x:c>
      <x:c r="U191" s="221" t="str">
        <x:f>IF(COUNTA($A191:$M191)=0,"",IF($N191="","待补base",IF(OR($N191&lt;30,$T191&lt;70),"不投",IF($N191&lt;35,"备选",IF($T191&gt;=85,"优先约聊","备选")))))</x:f>
      </x:c>
      <x:c r="V191" s="195"/>
      <x:c r="W191" s="222"/>
      <x:c r="X191" s="195"/>
      <x:c r="Y191" s="180"/>
    </x:row>
    <x:row r="192" ht="15" hidden="0" customHeight="1">
      <x:c r="A192" s="217"/>
      <x:c r="B192" s="195"/>
      <x:c r="C192" s="195"/>
      <x:c r="D192" s="218"/>
      <x:c r="E192" s="195"/>
      <x:c r="F192" s="195"/>
      <x:c r="G192" s="195"/>
      <x:c r="H192" s="195"/>
      <x:c r="I192" s="195"/>
      <x:c r="J192" s="195"/>
      <x:c r="K192" s="219"/>
      <x:c r="L192" s="195"/>
      <x:c r="M192" s="195"/>
      <x:c r="N192" s="219"/>
      <x:c r="O192" s="220" t="str">
        <x:f>IF(COUNTA($A192:$M192)=0,"",IF($N192="","待补",IF($N192&gt;=40,25,IF($N192&gt;=35,22,IF($N192&gt;=30,10,0)))))</x:f>
      </x:c>
      <x:c r="P192" s="220" t="str">
        <x:f>IF(COUNTA($A192:$M192)=0,"",IF(ISNUMBER($D192),IF($D192&lt;=45,20,IF($D192&lt;=60,14,IF($D192&lt;=75,8,3))),IF(OR(ISNUMBER(SEARCH("兴隆湖",$C192)),ISNUMBER(SEARCH("科学城",$C192))),20,IF(ISNUMBER(SEARCH("天府新区",$C192)),18,IF(OR(ISNUMBER(SEARCH("新川",$C192)),ISNUMBER(SEARCH("天府软件园",$C192)),ISNUMBER(SEARCH("高新南",$C192)),ISNUMBER(SEARCH("金融城",$C192))),12,5)))))</x:f>
      </x:c>
      <x:c r="Q192" s="220" t="str">
        <x:f>IF(COUNTA($A192:$M192)=0,"",SWITCH($H192,"核心",20,"强相关",16,"一般",10,"弱相关",5,"无",0,0))</x:f>
      </x:c>
      <x:c r="R192" s="220" t="str">
        <x:f>IF(COUNTA($A192:$M192)=0,"",SWITCH($I192,"核心",20,"强相关",16,"一般",10,"弱相关",5,"无",0,0))</x:f>
      </x:c>
      <x:c r="S192" s="220" t="str">
        <x:f>IF(COUNTA($A192:$M192)=0,"",SWITCH($J192,"高",15,"中高",12,"中",9,"低",4,"待核验",8,0))</x:f>
      </x:c>
      <x:c r="T192" s="220" t="str">
        <x:f>IF(COUNTA($A192:$M192)=0,"",SUM($O192:$S192))</x:f>
      </x:c>
      <x:c r="U192" s="221" t="str">
        <x:f>IF(COUNTA($A192:$M192)=0,"",IF($N192="","待补base",IF(OR($N192&lt;30,$T192&lt;70),"不投",IF($N192&lt;35,"备选",IF($T192&gt;=85,"优先约聊","备选")))))</x:f>
      </x:c>
      <x:c r="V192" s="195"/>
      <x:c r="W192" s="222"/>
      <x:c r="X192" s="195"/>
      <x:c r="Y192" s="180"/>
    </x:row>
    <x:row r="193" ht="15" hidden="0" customHeight="1">
      <x:c r="A193" s="217"/>
      <x:c r="B193" s="195"/>
      <x:c r="C193" s="195"/>
      <x:c r="D193" s="218"/>
      <x:c r="E193" s="195"/>
      <x:c r="F193" s="195"/>
      <x:c r="G193" s="195"/>
      <x:c r="H193" s="195"/>
      <x:c r="I193" s="195"/>
      <x:c r="J193" s="195"/>
      <x:c r="K193" s="219"/>
      <x:c r="L193" s="195"/>
      <x:c r="M193" s="195"/>
      <x:c r="N193" s="219"/>
      <x:c r="O193" s="220" t="str">
        <x:f>IF(COUNTA($A193:$M193)=0,"",IF($N193="","待补",IF($N193&gt;=40,25,IF($N193&gt;=35,22,IF($N193&gt;=30,10,0)))))</x:f>
      </x:c>
      <x:c r="P193" s="220" t="str">
        <x:f>IF(COUNTA($A193:$M193)=0,"",IF(ISNUMBER($D193),IF($D193&lt;=45,20,IF($D193&lt;=60,14,IF($D193&lt;=75,8,3))),IF(OR(ISNUMBER(SEARCH("兴隆湖",$C193)),ISNUMBER(SEARCH("科学城",$C193))),20,IF(ISNUMBER(SEARCH("天府新区",$C193)),18,IF(OR(ISNUMBER(SEARCH("新川",$C193)),ISNUMBER(SEARCH("天府软件园",$C193)),ISNUMBER(SEARCH("高新南",$C193)),ISNUMBER(SEARCH("金融城",$C193))),12,5)))))</x:f>
      </x:c>
      <x:c r="Q193" s="220" t="str">
        <x:f>IF(COUNTA($A193:$M193)=0,"",SWITCH($H193,"核心",20,"强相关",16,"一般",10,"弱相关",5,"无",0,0))</x:f>
      </x:c>
      <x:c r="R193" s="220" t="str">
        <x:f>IF(COUNTA($A193:$M193)=0,"",SWITCH($I193,"核心",20,"强相关",16,"一般",10,"弱相关",5,"无",0,0))</x:f>
      </x:c>
      <x:c r="S193" s="220" t="str">
        <x:f>IF(COUNTA($A193:$M193)=0,"",SWITCH($J193,"高",15,"中高",12,"中",9,"低",4,"待核验",8,0))</x:f>
      </x:c>
      <x:c r="T193" s="220" t="str">
        <x:f>IF(COUNTA($A193:$M193)=0,"",SUM($O193:$S193))</x:f>
      </x:c>
      <x:c r="U193" s="221" t="str">
        <x:f>IF(COUNTA($A193:$M193)=0,"",IF($N193="","待补base",IF(OR($N193&lt;30,$T193&lt;70),"不投",IF($N193&lt;35,"备选",IF($T193&gt;=85,"优先约聊","备选")))))</x:f>
      </x:c>
      <x:c r="V193" s="195"/>
      <x:c r="W193" s="222"/>
      <x:c r="X193" s="195"/>
      <x:c r="Y193" s="180"/>
    </x:row>
    <x:row r="194" ht="15" hidden="0" customHeight="1">
      <x:c r="A194" s="217"/>
      <x:c r="B194" s="195"/>
      <x:c r="C194" s="195"/>
      <x:c r="D194" s="218"/>
      <x:c r="E194" s="195"/>
      <x:c r="F194" s="195"/>
      <x:c r="G194" s="195"/>
      <x:c r="H194" s="195"/>
      <x:c r="I194" s="195"/>
      <x:c r="J194" s="195"/>
      <x:c r="K194" s="219"/>
      <x:c r="L194" s="195"/>
      <x:c r="M194" s="195"/>
      <x:c r="N194" s="219"/>
      <x:c r="O194" s="220" t="str">
        <x:f>IF(COUNTA($A194:$M194)=0,"",IF($N194="","待补",IF($N194&gt;=40,25,IF($N194&gt;=35,22,IF($N194&gt;=30,10,0)))))</x:f>
      </x:c>
      <x:c r="P194" s="220" t="str">
        <x:f>IF(COUNTA($A194:$M194)=0,"",IF(ISNUMBER($D194),IF($D194&lt;=45,20,IF($D194&lt;=60,14,IF($D194&lt;=75,8,3))),IF(OR(ISNUMBER(SEARCH("兴隆湖",$C194)),ISNUMBER(SEARCH("科学城",$C194))),20,IF(ISNUMBER(SEARCH("天府新区",$C194)),18,IF(OR(ISNUMBER(SEARCH("新川",$C194)),ISNUMBER(SEARCH("天府软件园",$C194)),ISNUMBER(SEARCH("高新南",$C194)),ISNUMBER(SEARCH("金融城",$C194))),12,5)))))</x:f>
      </x:c>
      <x:c r="Q194" s="220" t="str">
        <x:f>IF(COUNTA($A194:$M194)=0,"",SWITCH($H194,"核心",20,"强相关",16,"一般",10,"弱相关",5,"无",0,0))</x:f>
      </x:c>
      <x:c r="R194" s="220" t="str">
        <x:f>IF(COUNTA($A194:$M194)=0,"",SWITCH($I194,"核心",20,"强相关",16,"一般",10,"弱相关",5,"无",0,0))</x:f>
      </x:c>
      <x:c r="S194" s="220" t="str">
        <x:f>IF(COUNTA($A194:$M194)=0,"",SWITCH($J194,"高",15,"中高",12,"中",9,"低",4,"待核验",8,0))</x:f>
      </x:c>
      <x:c r="T194" s="220" t="str">
        <x:f>IF(COUNTA($A194:$M194)=0,"",SUM($O194:$S194))</x:f>
      </x:c>
      <x:c r="U194" s="221" t="str">
        <x:f>IF(COUNTA($A194:$M194)=0,"",IF($N194="","待补base",IF(OR($N194&lt;30,$T194&lt;70),"不投",IF($N194&lt;35,"备选",IF($T194&gt;=85,"优先约聊","备选")))))</x:f>
      </x:c>
      <x:c r="V194" s="195"/>
      <x:c r="W194" s="222"/>
      <x:c r="X194" s="195"/>
      <x:c r="Y194" s="180"/>
    </x:row>
    <x:row r="195" ht="15" hidden="0" customHeight="1">
      <x:c r="A195" s="217"/>
      <x:c r="B195" s="195"/>
      <x:c r="C195" s="195"/>
      <x:c r="D195" s="218"/>
      <x:c r="E195" s="195"/>
      <x:c r="F195" s="195"/>
      <x:c r="G195" s="195"/>
      <x:c r="H195" s="195"/>
      <x:c r="I195" s="195"/>
      <x:c r="J195" s="195"/>
      <x:c r="K195" s="219"/>
      <x:c r="L195" s="195"/>
      <x:c r="M195" s="195"/>
      <x:c r="N195" s="219"/>
      <x:c r="O195" s="220" t="str">
        <x:f>IF(COUNTA($A195:$M195)=0,"",IF($N195="","待补",IF($N195&gt;=40,25,IF($N195&gt;=35,22,IF($N195&gt;=30,10,0)))))</x:f>
      </x:c>
      <x:c r="P195" s="220" t="str">
        <x:f>IF(COUNTA($A195:$M195)=0,"",IF(ISNUMBER($D195),IF($D195&lt;=45,20,IF($D195&lt;=60,14,IF($D195&lt;=75,8,3))),IF(OR(ISNUMBER(SEARCH("兴隆湖",$C195)),ISNUMBER(SEARCH("科学城",$C195))),20,IF(ISNUMBER(SEARCH("天府新区",$C195)),18,IF(OR(ISNUMBER(SEARCH("新川",$C195)),ISNUMBER(SEARCH("天府软件园",$C195)),ISNUMBER(SEARCH("高新南",$C195)),ISNUMBER(SEARCH("金融城",$C195))),12,5)))))</x:f>
      </x:c>
      <x:c r="Q195" s="220" t="str">
        <x:f>IF(COUNTA($A195:$M195)=0,"",SWITCH($H195,"核心",20,"强相关",16,"一般",10,"弱相关",5,"无",0,0))</x:f>
      </x:c>
      <x:c r="R195" s="220" t="str">
        <x:f>IF(COUNTA($A195:$M195)=0,"",SWITCH($I195,"核心",20,"强相关",16,"一般",10,"弱相关",5,"无",0,0))</x:f>
      </x:c>
      <x:c r="S195" s="220" t="str">
        <x:f>IF(COUNTA($A195:$M195)=0,"",SWITCH($J195,"高",15,"中高",12,"中",9,"低",4,"待核验",8,0))</x:f>
      </x:c>
      <x:c r="T195" s="220" t="str">
        <x:f>IF(COUNTA($A195:$M195)=0,"",SUM($O195:$S195))</x:f>
      </x:c>
      <x:c r="U195" s="221" t="str">
        <x:f>IF(COUNTA($A195:$M195)=0,"",IF($N195="","待补base",IF(OR($N195&lt;30,$T195&lt;70),"不投",IF($N195&lt;35,"备选",IF($T195&gt;=85,"优先约聊","备选")))))</x:f>
      </x:c>
      <x:c r="V195" s="195"/>
      <x:c r="W195" s="222"/>
      <x:c r="X195" s="195"/>
      <x:c r="Y195" s="180"/>
    </x:row>
    <x:row r="196" ht="15" hidden="0" customHeight="1">
      <x:c r="A196" s="217"/>
      <x:c r="B196" s="195"/>
      <x:c r="C196" s="195"/>
      <x:c r="D196" s="218"/>
      <x:c r="E196" s="195"/>
      <x:c r="F196" s="195"/>
      <x:c r="G196" s="195"/>
      <x:c r="H196" s="195"/>
      <x:c r="I196" s="195"/>
      <x:c r="J196" s="195"/>
      <x:c r="K196" s="219"/>
      <x:c r="L196" s="195"/>
      <x:c r="M196" s="195"/>
      <x:c r="N196" s="219"/>
      <x:c r="O196" s="220" t="str">
        <x:f>IF(COUNTA($A196:$M196)=0,"",IF($N196="","待补",IF($N196&gt;=40,25,IF($N196&gt;=35,22,IF($N196&gt;=30,10,0)))))</x:f>
      </x:c>
      <x:c r="P196" s="220" t="str">
        <x:f>IF(COUNTA($A196:$M196)=0,"",IF(ISNUMBER($D196),IF($D196&lt;=45,20,IF($D196&lt;=60,14,IF($D196&lt;=75,8,3))),IF(OR(ISNUMBER(SEARCH("兴隆湖",$C196)),ISNUMBER(SEARCH("科学城",$C196))),20,IF(ISNUMBER(SEARCH("天府新区",$C196)),18,IF(OR(ISNUMBER(SEARCH("新川",$C196)),ISNUMBER(SEARCH("天府软件园",$C196)),ISNUMBER(SEARCH("高新南",$C196)),ISNUMBER(SEARCH("金融城",$C196))),12,5)))))</x:f>
      </x:c>
      <x:c r="Q196" s="220" t="str">
        <x:f>IF(COUNTA($A196:$M196)=0,"",SWITCH($H196,"核心",20,"强相关",16,"一般",10,"弱相关",5,"无",0,0))</x:f>
      </x:c>
      <x:c r="R196" s="220" t="str">
        <x:f>IF(COUNTA($A196:$M196)=0,"",SWITCH($I196,"核心",20,"强相关",16,"一般",10,"弱相关",5,"无",0,0))</x:f>
      </x:c>
      <x:c r="S196" s="220" t="str">
        <x:f>IF(COUNTA($A196:$M196)=0,"",SWITCH($J196,"高",15,"中高",12,"中",9,"低",4,"待核验",8,0))</x:f>
      </x:c>
      <x:c r="T196" s="220" t="str">
        <x:f>IF(COUNTA($A196:$M196)=0,"",SUM($O196:$S196))</x:f>
      </x:c>
      <x:c r="U196" s="221" t="str">
        <x:f>IF(COUNTA($A196:$M196)=0,"",IF($N196="","待补base",IF(OR($N196&lt;30,$T196&lt;70),"不投",IF($N196&lt;35,"备选",IF($T196&gt;=85,"优先约聊","备选")))))</x:f>
      </x:c>
      <x:c r="V196" s="195"/>
      <x:c r="W196" s="222"/>
      <x:c r="X196" s="195"/>
      <x:c r="Y196" s="180"/>
    </x:row>
    <x:row r="197" ht="15" hidden="0" customHeight="1">
      <x:c r="A197" s="217"/>
      <x:c r="B197" s="195"/>
      <x:c r="C197" s="195"/>
      <x:c r="D197" s="218"/>
      <x:c r="E197" s="195"/>
      <x:c r="F197" s="195"/>
      <x:c r="G197" s="195"/>
      <x:c r="H197" s="195"/>
      <x:c r="I197" s="195"/>
      <x:c r="J197" s="195"/>
      <x:c r="K197" s="219"/>
      <x:c r="L197" s="195"/>
      <x:c r="M197" s="195"/>
      <x:c r="N197" s="219"/>
      <x:c r="O197" s="220" t="str">
        <x:f>IF(COUNTA($A197:$M197)=0,"",IF($N197="","待补",IF($N197&gt;=40,25,IF($N197&gt;=35,22,IF($N197&gt;=30,10,0)))))</x:f>
      </x:c>
      <x:c r="P197" s="220" t="str">
        <x:f>IF(COUNTA($A197:$M197)=0,"",IF(ISNUMBER($D197),IF($D197&lt;=45,20,IF($D197&lt;=60,14,IF($D197&lt;=75,8,3))),IF(OR(ISNUMBER(SEARCH("兴隆湖",$C197)),ISNUMBER(SEARCH("科学城",$C197))),20,IF(ISNUMBER(SEARCH("天府新区",$C197)),18,IF(OR(ISNUMBER(SEARCH("新川",$C197)),ISNUMBER(SEARCH("天府软件园",$C197)),ISNUMBER(SEARCH("高新南",$C197)),ISNUMBER(SEARCH("金融城",$C197))),12,5)))))</x:f>
      </x:c>
      <x:c r="Q197" s="220" t="str">
        <x:f>IF(COUNTA($A197:$M197)=0,"",SWITCH($H197,"核心",20,"强相关",16,"一般",10,"弱相关",5,"无",0,0))</x:f>
      </x:c>
      <x:c r="R197" s="220" t="str">
        <x:f>IF(COUNTA($A197:$M197)=0,"",SWITCH($I197,"核心",20,"强相关",16,"一般",10,"弱相关",5,"无",0,0))</x:f>
      </x:c>
      <x:c r="S197" s="220" t="str">
        <x:f>IF(COUNTA($A197:$M197)=0,"",SWITCH($J197,"高",15,"中高",12,"中",9,"低",4,"待核验",8,0))</x:f>
      </x:c>
      <x:c r="T197" s="220" t="str">
        <x:f>IF(COUNTA($A197:$M197)=0,"",SUM($O197:$S197))</x:f>
      </x:c>
      <x:c r="U197" s="221" t="str">
        <x:f>IF(COUNTA($A197:$M197)=0,"",IF($N197="","待补base",IF(OR($N197&lt;30,$T197&lt;70),"不投",IF($N197&lt;35,"备选",IF($T197&gt;=85,"优先约聊","备选")))))</x:f>
      </x:c>
      <x:c r="V197" s="195"/>
      <x:c r="W197" s="222"/>
      <x:c r="X197" s="195"/>
      <x:c r="Y197" s="180"/>
    </x:row>
    <x:row r="198" ht="15" hidden="0" customHeight="1">
      <x:c r="A198" s="217"/>
      <x:c r="B198" s="195"/>
      <x:c r="C198" s="195"/>
      <x:c r="D198" s="218"/>
      <x:c r="E198" s="195"/>
      <x:c r="F198" s="195"/>
      <x:c r="G198" s="195"/>
      <x:c r="H198" s="195"/>
      <x:c r="I198" s="195"/>
      <x:c r="J198" s="195"/>
      <x:c r="K198" s="219"/>
      <x:c r="L198" s="195"/>
      <x:c r="M198" s="195"/>
      <x:c r="N198" s="219"/>
      <x:c r="O198" s="220" t="str">
        <x:f>IF(COUNTA($A198:$M198)=0,"",IF($N198="","待补",IF($N198&gt;=40,25,IF($N198&gt;=35,22,IF($N198&gt;=30,10,0)))))</x:f>
      </x:c>
      <x:c r="P198" s="220" t="str">
        <x:f>IF(COUNTA($A198:$M198)=0,"",IF(ISNUMBER($D198),IF($D198&lt;=45,20,IF($D198&lt;=60,14,IF($D198&lt;=75,8,3))),IF(OR(ISNUMBER(SEARCH("兴隆湖",$C198)),ISNUMBER(SEARCH("科学城",$C198))),20,IF(ISNUMBER(SEARCH("天府新区",$C198)),18,IF(OR(ISNUMBER(SEARCH("新川",$C198)),ISNUMBER(SEARCH("天府软件园",$C198)),ISNUMBER(SEARCH("高新南",$C198)),ISNUMBER(SEARCH("金融城",$C198))),12,5)))))</x:f>
      </x:c>
      <x:c r="Q198" s="220" t="str">
        <x:f>IF(COUNTA($A198:$M198)=0,"",SWITCH($H198,"核心",20,"强相关",16,"一般",10,"弱相关",5,"无",0,0))</x:f>
      </x:c>
      <x:c r="R198" s="220" t="str">
        <x:f>IF(COUNTA($A198:$M198)=0,"",SWITCH($I198,"核心",20,"强相关",16,"一般",10,"弱相关",5,"无",0,0))</x:f>
      </x:c>
      <x:c r="S198" s="220" t="str">
        <x:f>IF(COUNTA($A198:$M198)=0,"",SWITCH($J198,"高",15,"中高",12,"中",9,"低",4,"待核验",8,0))</x:f>
      </x:c>
      <x:c r="T198" s="220" t="str">
        <x:f>IF(COUNTA($A198:$M198)=0,"",SUM($O198:$S198))</x:f>
      </x:c>
      <x:c r="U198" s="221" t="str">
        <x:f>IF(COUNTA($A198:$M198)=0,"",IF($N198="","待补base",IF(OR($N198&lt;30,$T198&lt;70),"不投",IF($N198&lt;35,"备选",IF($T198&gt;=85,"优先约聊","备选")))))</x:f>
      </x:c>
      <x:c r="V198" s="195"/>
      <x:c r="W198" s="222"/>
      <x:c r="X198" s="195"/>
      <x:c r="Y198" s="180"/>
    </x:row>
    <x:row r="199" ht="15" hidden="0" customHeight="1">
      <x:c r="A199" s="217"/>
      <x:c r="B199" s="195"/>
      <x:c r="C199" s="195"/>
      <x:c r="D199" s="218"/>
      <x:c r="E199" s="195"/>
      <x:c r="F199" s="195"/>
      <x:c r="G199" s="195"/>
      <x:c r="H199" s="195"/>
      <x:c r="I199" s="195"/>
      <x:c r="J199" s="195"/>
      <x:c r="K199" s="219"/>
      <x:c r="L199" s="195"/>
      <x:c r="M199" s="195"/>
      <x:c r="N199" s="219"/>
      <x:c r="O199" s="220" t="str">
        <x:f>IF(COUNTA($A199:$M199)=0,"",IF($N199="","待补",IF($N199&gt;=40,25,IF($N199&gt;=35,22,IF($N199&gt;=30,10,0)))))</x:f>
      </x:c>
      <x:c r="P199" s="220" t="str">
        <x:f>IF(COUNTA($A199:$M199)=0,"",IF(ISNUMBER($D199),IF($D199&lt;=45,20,IF($D199&lt;=60,14,IF($D199&lt;=75,8,3))),IF(OR(ISNUMBER(SEARCH("兴隆湖",$C199)),ISNUMBER(SEARCH("科学城",$C199))),20,IF(ISNUMBER(SEARCH("天府新区",$C199)),18,IF(OR(ISNUMBER(SEARCH("新川",$C199)),ISNUMBER(SEARCH("天府软件园",$C199)),ISNUMBER(SEARCH("高新南",$C199)),ISNUMBER(SEARCH("金融城",$C199))),12,5)))))</x:f>
      </x:c>
      <x:c r="Q199" s="220" t="str">
        <x:f>IF(COUNTA($A199:$M199)=0,"",SWITCH($H199,"核心",20,"强相关",16,"一般",10,"弱相关",5,"无",0,0))</x:f>
      </x:c>
      <x:c r="R199" s="220" t="str">
        <x:f>IF(COUNTA($A199:$M199)=0,"",SWITCH($I199,"核心",20,"强相关",16,"一般",10,"弱相关",5,"无",0,0))</x:f>
      </x:c>
      <x:c r="S199" s="220" t="str">
        <x:f>IF(COUNTA($A199:$M199)=0,"",SWITCH($J199,"高",15,"中高",12,"中",9,"低",4,"待核验",8,0))</x:f>
      </x:c>
      <x:c r="T199" s="220" t="str">
        <x:f>IF(COUNTA($A199:$M199)=0,"",SUM($O199:$S199))</x:f>
      </x:c>
      <x:c r="U199" s="221" t="str">
        <x:f>IF(COUNTA($A199:$M199)=0,"",IF($N199="","待补base",IF(OR($N199&lt;30,$T199&lt;70),"不投",IF($N199&lt;35,"备选",IF($T199&gt;=85,"优先约聊","备选")))))</x:f>
      </x:c>
      <x:c r="V199" s="195"/>
      <x:c r="W199" s="222"/>
      <x:c r="X199" s="195"/>
      <x:c r="Y199" s="180"/>
    </x:row>
    <x:row r="200" ht="15" hidden="0" customHeight="1">
      <x:c r="A200" s="217"/>
      <x:c r="B200" s="195"/>
      <x:c r="C200" s="195"/>
      <x:c r="D200" s="218"/>
      <x:c r="E200" s="195"/>
      <x:c r="F200" s="195"/>
      <x:c r="G200" s="195"/>
      <x:c r="H200" s="195"/>
      <x:c r="I200" s="195"/>
      <x:c r="J200" s="195"/>
      <x:c r="K200" s="219"/>
      <x:c r="L200" s="195"/>
      <x:c r="M200" s="195"/>
      <x:c r="N200" s="219"/>
      <x:c r="O200" s="220" t="str">
        <x:f>IF(COUNTA($A200:$M200)=0,"",IF($N200="","待补",IF($N200&gt;=40,25,IF($N200&gt;=35,22,IF($N200&gt;=30,10,0)))))</x:f>
      </x:c>
      <x:c r="P200" s="220" t="str">
        <x:f>IF(COUNTA($A200:$M200)=0,"",IF(ISNUMBER($D200),IF($D200&lt;=45,20,IF($D200&lt;=60,14,IF($D200&lt;=75,8,3))),IF(OR(ISNUMBER(SEARCH("兴隆湖",$C200)),ISNUMBER(SEARCH("科学城",$C200))),20,IF(ISNUMBER(SEARCH("天府新区",$C200)),18,IF(OR(ISNUMBER(SEARCH("新川",$C200)),ISNUMBER(SEARCH("天府软件园",$C200)),ISNUMBER(SEARCH("高新南",$C200)),ISNUMBER(SEARCH("金融城",$C200))),12,5)))))</x:f>
      </x:c>
      <x:c r="Q200" s="220" t="str">
        <x:f>IF(COUNTA($A200:$M200)=0,"",SWITCH($H200,"核心",20,"强相关",16,"一般",10,"弱相关",5,"无",0,0))</x:f>
      </x:c>
      <x:c r="R200" s="220" t="str">
        <x:f>IF(COUNTA($A200:$M200)=0,"",SWITCH($I200,"核心",20,"强相关",16,"一般",10,"弱相关",5,"无",0,0))</x:f>
      </x:c>
      <x:c r="S200" s="220" t="str">
        <x:f>IF(COUNTA($A200:$M200)=0,"",SWITCH($J200,"高",15,"中高",12,"中",9,"低",4,"待核验",8,0))</x:f>
      </x:c>
      <x:c r="T200" s="220" t="str">
        <x:f>IF(COUNTA($A200:$M200)=0,"",SUM($O200:$S200))</x:f>
      </x:c>
      <x:c r="U200" s="221" t="str">
        <x:f>IF(COUNTA($A200:$M200)=0,"",IF($N200="","待补base",IF(OR($N200&lt;30,$T200&lt;70),"不投",IF($N200&lt;35,"备选",IF($T200&gt;=85,"优先约聊","备选")))))</x:f>
      </x:c>
      <x:c r="V200" s="195"/>
      <x:c r="W200" s="222"/>
      <x:c r="X200" s="195"/>
      <x:c r="Y200" s="180"/>
    </x:row>
    <x:row r="201" ht="15" hidden="0" customHeight="1">
      <x:c r="A201" s="217"/>
      <x:c r="B201" s="195"/>
      <x:c r="C201" s="195"/>
      <x:c r="D201" s="218"/>
      <x:c r="E201" s="195"/>
      <x:c r="F201" s="195"/>
      <x:c r="G201" s="195"/>
      <x:c r="H201" s="195"/>
      <x:c r="I201" s="195"/>
      <x:c r="J201" s="195"/>
      <x:c r="K201" s="219"/>
      <x:c r="L201" s="195"/>
      <x:c r="M201" s="195"/>
      <x:c r="N201" s="219"/>
      <x:c r="O201" s="220" t="str">
        <x:f>IF(COUNTA($A201:$M201)=0,"",IF($N201="","待补",IF($N201&gt;=40,25,IF($N201&gt;=35,22,IF($N201&gt;=30,10,0)))))</x:f>
      </x:c>
      <x:c r="P201" s="220" t="str">
        <x:f>IF(COUNTA($A201:$M201)=0,"",IF(ISNUMBER($D201),IF($D201&lt;=45,20,IF($D201&lt;=60,14,IF($D201&lt;=75,8,3))),IF(OR(ISNUMBER(SEARCH("兴隆湖",$C201)),ISNUMBER(SEARCH("科学城",$C201))),20,IF(ISNUMBER(SEARCH("天府新区",$C201)),18,IF(OR(ISNUMBER(SEARCH("新川",$C201)),ISNUMBER(SEARCH("天府软件园",$C201)),ISNUMBER(SEARCH("高新南",$C201)),ISNUMBER(SEARCH("金融城",$C201))),12,5)))))</x:f>
      </x:c>
      <x:c r="Q201" s="220" t="str">
        <x:f>IF(COUNTA($A201:$M201)=0,"",SWITCH($H201,"核心",20,"强相关",16,"一般",10,"弱相关",5,"无",0,0))</x:f>
      </x:c>
      <x:c r="R201" s="220" t="str">
        <x:f>IF(COUNTA($A201:$M201)=0,"",SWITCH($I201,"核心",20,"强相关",16,"一般",10,"弱相关",5,"无",0,0))</x:f>
      </x:c>
      <x:c r="S201" s="220" t="str">
        <x:f>IF(COUNTA($A201:$M201)=0,"",SWITCH($J201,"高",15,"中高",12,"中",9,"低",4,"待核验",8,0))</x:f>
      </x:c>
      <x:c r="T201" s="220" t="str">
        <x:f>IF(COUNTA($A201:$M201)=0,"",SUM($O201:$S201))</x:f>
      </x:c>
      <x:c r="U201" s="221" t="str">
        <x:f>IF(COUNTA($A201:$M201)=0,"",IF($N201="","待补base",IF(OR($N201&lt;30,$T201&lt;70),"不投",IF($N201&lt;35,"备选",IF($T201&gt;=85,"优先约聊","备选")))))</x:f>
      </x:c>
      <x:c r="V201" s="195"/>
      <x:c r="W201" s="222"/>
      <x:c r="X201" s="195"/>
      <x:c r="Y201" s="180"/>
    </x:row>
    <x:row r="202" ht="15" hidden="0" customHeight="1">
      <x:c r="A202" s="217"/>
      <x:c r="B202" s="195"/>
      <x:c r="C202" s="195"/>
      <x:c r="D202" s="218"/>
      <x:c r="E202" s="195"/>
      <x:c r="F202" s="195"/>
      <x:c r="G202" s="195"/>
      <x:c r="H202" s="195"/>
      <x:c r="I202" s="195"/>
      <x:c r="J202" s="195"/>
      <x:c r="K202" s="219"/>
      <x:c r="L202" s="195"/>
      <x:c r="M202" s="195"/>
      <x:c r="N202" s="219"/>
      <x:c r="O202" s="220" t="str">
        <x:f>IF(COUNTA($A202:$M202)=0,"",IF($N202="","待补",IF($N202&gt;=40,25,IF($N202&gt;=35,22,IF($N202&gt;=30,10,0)))))</x:f>
      </x:c>
      <x:c r="P202" s="220" t="str">
        <x:f>IF(COUNTA($A202:$M202)=0,"",IF(ISNUMBER($D202),IF($D202&lt;=45,20,IF($D202&lt;=60,14,IF($D202&lt;=75,8,3))),IF(OR(ISNUMBER(SEARCH("兴隆湖",$C202)),ISNUMBER(SEARCH("科学城",$C202))),20,IF(ISNUMBER(SEARCH("天府新区",$C202)),18,IF(OR(ISNUMBER(SEARCH("新川",$C202)),ISNUMBER(SEARCH("天府软件园",$C202)),ISNUMBER(SEARCH("高新南",$C202)),ISNUMBER(SEARCH("金融城",$C202))),12,5)))))</x:f>
      </x:c>
      <x:c r="Q202" s="220" t="str">
        <x:f>IF(COUNTA($A202:$M202)=0,"",SWITCH($H202,"核心",20,"强相关",16,"一般",10,"弱相关",5,"无",0,0))</x:f>
      </x:c>
      <x:c r="R202" s="220" t="str">
        <x:f>IF(COUNTA($A202:$M202)=0,"",SWITCH($I202,"核心",20,"强相关",16,"一般",10,"弱相关",5,"无",0,0))</x:f>
      </x:c>
      <x:c r="S202" s="220" t="str">
        <x:f>IF(COUNTA($A202:$M202)=0,"",SWITCH($J202,"高",15,"中高",12,"中",9,"低",4,"待核验",8,0))</x:f>
      </x:c>
      <x:c r="T202" s="220" t="str">
        <x:f>IF(COUNTA($A202:$M202)=0,"",SUM($O202:$S202))</x:f>
      </x:c>
      <x:c r="U202" s="221" t="str">
        <x:f>IF(COUNTA($A202:$M202)=0,"",IF($N202="","待补base",IF(OR($N202&lt;30,$T202&lt;70),"不投",IF($N202&lt;35,"备选",IF($T202&gt;=85,"优先约聊","备选")))))</x:f>
      </x:c>
      <x:c r="V202" s="195"/>
      <x:c r="W202" s="222"/>
      <x:c r="X202" s="195"/>
      <x:c r="Y202" s="180"/>
    </x:row>
    <x:row r="203" ht="15" hidden="0" customHeight="1">
      <x:c r="A203" s="217"/>
      <x:c r="B203" s="195"/>
      <x:c r="C203" s="195"/>
      <x:c r="D203" s="218"/>
      <x:c r="E203" s="195"/>
      <x:c r="F203" s="195"/>
      <x:c r="G203" s="195"/>
      <x:c r="H203" s="195"/>
      <x:c r="I203" s="195"/>
      <x:c r="J203" s="195"/>
      <x:c r="K203" s="219"/>
      <x:c r="L203" s="195"/>
      <x:c r="M203" s="195"/>
      <x:c r="N203" s="219"/>
      <x:c r="O203" s="220" t="str">
        <x:f>IF(COUNTA($A203:$M203)=0,"",IF($N203="","待补",IF($N203&gt;=40,25,IF($N203&gt;=35,22,IF($N203&gt;=30,10,0)))))</x:f>
      </x:c>
      <x:c r="P203" s="220" t="str">
        <x:f>IF(COUNTA($A203:$M203)=0,"",IF(ISNUMBER($D203),IF($D203&lt;=45,20,IF($D203&lt;=60,14,IF($D203&lt;=75,8,3))),IF(OR(ISNUMBER(SEARCH("兴隆湖",$C203)),ISNUMBER(SEARCH("科学城",$C203))),20,IF(ISNUMBER(SEARCH("天府新区",$C203)),18,IF(OR(ISNUMBER(SEARCH("新川",$C203)),ISNUMBER(SEARCH("天府软件园",$C203)),ISNUMBER(SEARCH("高新南",$C203)),ISNUMBER(SEARCH("金融城",$C203))),12,5)))))</x:f>
      </x:c>
      <x:c r="Q203" s="220" t="str">
        <x:f>IF(COUNTA($A203:$M203)=0,"",SWITCH($H203,"核心",20,"强相关",16,"一般",10,"弱相关",5,"无",0,0))</x:f>
      </x:c>
      <x:c r="R203" s="220" t="str">
        <x:f>IF(COUNTA($A203:$M203)=0,"",SWITCH($I203,"核心",20,"强相关",16,"一般",10,"弱相关",5,"无",0,0))</x:f>
      </x:c>
      <x:c r="S203" s="220" t="str">
        <x:f>IF(COUNTA($A203:$M203)=0,"",SWITCH($J203,"高",15,"中高",12,"中",9,"低",4,"待核验",8,0))</x:f>
      </x:c>
      <x:c r="T203" s="220" t="str">
        <x:f>IF(COUNTA($A203:$M203)=0,"",SUM($O203:$S203))</x:f>
      </x:c>
      <x:c r="U203" s="221" t="str">
        <x:f>IF(COUNTA($A203:$M203)=0,"",IF($N203="","待补base",IF(OR($N203&lt;30,$T203&lt;70),"不投",IF($N203&lt;35,"备选",IF($T203&gt;=85,"优先约聊","备选")))))</x:f>
      </x:c>
      <x:c r="V203" s="195"/>
      <x:c r="W203" s="222"/>
      <x:c r="X203" s="195"/>
      <x:c r="Y203" s="180"/>
    </x:row>
    <x:row r="204" ht="15" hidden="0" customHeight="1">
      <x:c r="A204" s="217"/>
      <x:c r="B204" s="195"/>
      <x:c r="C204" s="195"/>
      <x:c r="D204" s="218"/>
      <x:c r="E204" s="195"/>
      <x:c r="F204" s="195"/>
      <x:c r="G204" s="195"/>
      <x:c r="H204" s="195"/>
      <x:c r="I204" s="195"/>
      <x:c r="J204" s="195"/>
      <x:c r="K204" s="219"/>
      <x:c r="L204" s="195"/>
      <x:c r="M204" s="195"/>
      <x:c r="N204" s="219"/>
      <x:c r="O204" s="220" t="str">
        <x:f>IF(COUNTA($A204:$M204)=0,"",IF($N204="","待补",IF($N204&gt;=40,25,IF($N204&gt;=35,22,IF($N204&gt;=30,10,0)))))</x:f>
      </x:c>
      <x:c r="P204" s="220" t="str">
        <x:f>IF(COUNTA($A204:$M204)=0,"",IF(ISNUMBER($D204),IF($D204&lt;=45,20,IF($D204&lt;=60,14,IF($D204&lt;=75,8,3))),IF(OR(ISNUMBER(SEARCH("兴隆湖",$C204)),ISNUMBER(SEARCH("科学城",$C204))),20,IF(ISNUMBER(SEARCH("天府新区",$C204)),18,IF(OR(ISNUMBER(SEARCH("新川",$C204)),ISNUMBER(SEARCH("天府软件园",$C204)),ISNUMBER(SEARCH("高新南",$C204)),ISNUMBER(SEARCH("金融城",$C204))),12,5)))))</x:f>
      </x:c>
      <x:c r="Q204" s="220" t="str">
        <x:f>IF(COUNTA($A204:$M204)=0,"",SWITCH($H204,"核心",20,"强相关",16,"一般",10,"弱相关",5,"无",0,0))</x:f>
      </x:c>
      <x:c r="R204" s="220" t="str">
        <x:f>IF(COUNTA($A204:$M204)=0,"",SWITCH($I204,"核心",20,"强相关",16,"一般",10,"弱相关",5,"无",0,0))</x:f>
      </x:c>
      <x:c r="S204" s="220" t="str">
        <x:f>IF(COUNTA($A204:$M204)=0,"",SWITCH($J204,"高",15,"中高",12,"中",9,"低",4,"待核验",8,0))</x:f>
      </x:c>
      <x:c r="T204" s="220" t="str">
        <x:f>IF(COUNTA($A204:$M204)=0,"",SUM($O204:$S204))</x:f>
      </x:c>
      <x:c r="U204" s="221" t="str">
        <x:f>IF(COUNTA($A204:$M204)=0,"",IF($N204="","待补base",IF(OR($N204&lt;30,$T204&lt;70),"不投",IF($N204&lt;35,"备选",IF($T204&gt;=85,"优先约聊","备选")))))</x:f>
      </x:c>
      <x:c r="V204" s="195"/>
      <x:c r="W204" s="222"/>
      <x:c r="X204" s="195"/>
      <x:c r="Y204" s="180"/>
    </x:row>
    <x:row r="205" ht="15" hidden="0" customHeight="1">
      <x:c r="A205" s="223"/>
      <x:c r="B205" s="197"/>
      <x:c r="C205" s="197"/>
      <x:c r="D205" s="224"/>
      <x:c r="E205" s="197"/>
      <x:c r="F205" s="197"/>
      <x:c r="G205" s="197"/>
      <x:c r="H205" s="197"/>
      <x:c r="I205" s="197"/>
      <x:c r="J205" s="197"/>
      <x:c r="K205" s="225"/>
      <x:c r="L205" s="197"/>
      <x:c r="M205" s="197"/>
      <x:c r="N205" s="225"/>
      <x:c r="O205" s="226" t="str">
        <x:f>IF(COUNTA($A205:$M205)=0,"",IF($N205="","待补",IF($N205&gt;=40,25,IF($N205&gt;=35,22,IF($N205&gt;=30,10,0)))))</x:f>
      </x:c>
      <x:c r="P205" s="226" t="str">
        <x:f>IF(COUNTA($A205:$M205)=0,"",IF(ISNUMBER($D205),IF($D205&lt;=45,20,IF($D205&lt;=60,14,IF($D205&lt;=75,8,3))),IF(OR(ISNUMBER(SEARCH("兴隆湖",$C205)),ISNUMBER(SEARCH("科学城",$C205))),20,IF(ISNUMBER(SEARCH("天府新区",$C205)),18,IF(OR(ISNUMBER(SEARCH("新川",$C205)),ISNUMBER(SEARCH("天府软件园",$C205)),ISNUMBER(SEARCH("高新南",$C205)),ISNUMBER(SEARCH("金融城",$C205))),12,5)))))</x:f>
      </x:c>
      <x:c r="Q205" s="226" t="str">
        <x:f>IF(COUNTA($A205:$M205)=0,"",SWITCH($H205,"核心",20,"强相关",16,"一般",10,"弱相关",5,"无",0,0))</x:f>
      </x:c>
      <x:c r="R205" s="226" t="str">
        <x:f>IF(COUNTA($A205:$M205)=0,"",SWITCH($I205,"核心",20,"强相关",16,"一般",10,"弱相关",5,"无",0,0))</x:f>
      </x:c>
      <x:c r="S205" s="226" t="str">
        <x:f>IF(COUNTA($A205:$M205)=0,"",SWITCH($J205,"高",15,"中高",12,"中",9,"低",4,"待核验",8,0))</x:f>
      </x:c>
      <x:c r="T205" s="226" t="str">
        <x:f>IF(COUNTA($A205:$M205)=0,"",SUM($O205:$S205))</x:f>
      </x:c>
      <x:c r="U205" s="227" t="str">
        <x:f>IF(COUNTA($A205:$M205)=0,"",IF($N205="","待补base",IF(OR($N205&lt;30,$T205&lt;70),"不投",IF($N205&lt;35,"备选",IF($T205&gt;=85,"优先约聊","备选")))))</x:f>
      </x:c>
      <x:c r="V205" s="197"/>
      <x:c r="W205" s="228"/>
      <x:c r="X205" s="197"/>
      <x:c r="Y205" s="183"/>
    </x:row>
  </x:sheetData>
  <x:mergeCells>
    <x:mergeCell ref="A1:Y1"/>
    <x:mergeCell ref="A2:Y2"/>
    <x:mergeCell ref="A4:M4"/>
    <x:mergeCell ref="N4:Y4"/>
  </x:mergeCells>
  <x:conditionalFormatting sqref="U6:U205">
    <x:cfRule type="containsText" dxfId="0" priority="1" operator="containsText" text="优先约聊"/>
    <x:cfRule type="containsText" dxfId="1" priority="2" operator="containsText" text="备选"/>
    <x:cfRule type="containsText" dxfId="2" priority="3" operator="containsText" text="不投"/>
  </x:conditionalFormatting>
  <x:conditionalFormatting sqref="T6:T205">
    <x:cfRule type="cellIs" dxfId="3" priority="4" operator="greaterThanOrEqual">
      <x:formula>85</x:formula>
    </x:cfRule>
    <x:cfRule type="cellIs" dxfId="4" priority="5" operator="between">
      <x:formula>70</x:formula>
      <x:formula>84</x:formula>
    </x:cfRule>
    <x:cfRule type="cellIs" dxfId="5" priority="6" operator="lessThan">
      <x:formula>70</x:formula>
    </x:cfRule>
  </x:conditionalFormatting>
  <x:dataValidations count="7">
    <x:dataValidation type="list" sqref="G6:G205">
      <x:formula1>"AI Agent 应用工程师,大模型应用开发工程师,AI 平台前端/全栈,前端架构师 + AI产品,高级前端/前端架构师,其他"</x:formula1>
    </x:dataValidation>
    <x:dataValidation type="list" sqref="H6:I205">
      <x:formula1>"核心,强相关,一般,弱相关,无"</x:formula1>
    </x:dataValidation>
    <x:dataValidation type="list" sqref="J6:J205">
      <x:formula1>"高,中高,中,低,待核验"</x:formula1>
    </x:dataValidation>
    <x:dataValidation type="list" sqref="V6:V205">
      <x:formula1>"未联系,已问base,已问地点,已问AI阶段,可面试,放弃"</x:formula1>
    </x:dataValidation>
    <x:dataValidation type="whole" operator="between" sqref="D6:D205">
      <x:formula1>0</x:formula1>
      <x:formula2>180</x:formula2>
    </x:dataValidation>
    <x:dataValidation type="whole" operator="between" sqref="K6:K205">
      <x:formula1>0</x:formula1>
      <x:formula2>100</x:formula2>
    </x:dataValidation>
    <x:dataValidation type="whole" operator="between" sqref="N6:N205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eea25d76f4845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0" hidden="0" customWidth="1"/>
    <x:col min="3" max="3" width="21.110000610351562" hidden="0" customWidth="1"/>
    <x:col min="4" max="4" width="20" hidden="0" customWidth="1"/>
    <x:col min="5" max="5" width="13.329999923706055" hidden="0" customWidth="1"/>
    <x:col min="6" max="6" width="12.220000267028809" hidden="0" customWidth="1"/>
    <x:col min="7" max="7" width="12.220000267028809" hidden="0" customWidth="1"/>
    <x:col min="8" max="8" width="24.440000534057617" hidden="0" customWidth="1"/>
  </x:cols>
  <x:sheetData>
    <x:row r="1" ht="31.5" customHeight="1">
      <x:c r="A1" s="130" t="str">
        <x:v>评分说明</x:v>
      </x:c>
      <x:c r="B1" s="130" t="str">
        <x:v>评分说明</x:v>
      </x:c>
      <x:c r="C1" s="130" t="str">
        <x:v>评分说明</x:v>
      </x:c>
      <x:c r="D1" s="130" t="str">
        <x:v>评分说明</x:v>
      </x:c>
      <x:c r="E1" s="130" t="str">
        <x:v>评分说明</x:v>
      </x:c>
      <x:c r="F1" s="130" t="str">
        <x:v>评分说明</x:v>
      </x:c>
      <x:c r="G1" s="130" t="str">
        <x:v>评分说明</x:v>
      </x:c>
      <x:c r="H1" s="130" t="str">
        <x:v>评分说明</x:v>
      </x:c>
    </x:row>
    <x:row r="2">
      <x:c r="A2" s="171"/>
      <x:c r="B2" s="171"/>
      <x:c r="C2" s="171"/>
      <x:c r="D2" s="171"/>
      <x:c r="E2" s="171"/>
      <x:c r="F2" s="171"/>
      <x:c r="G2" s="171"/>
      <x:c r="H2" s="171"/>
    </x:row>
    <x:row r="3">
      <x:c r="A3" s="151" t="str">
        <x:v>维度</x:v>
      </x:c>
      <x:c r="B3" s="152" t="str">
        <x:v>权重</x:v>
      </x:c>
      <x:c r="C3" s="171"/>
      <x:c r="D3" s="151" t="str">
        <x:v>决策阈值</x:v>
      </x:c>
      <x:c r="E3" s="200" t="str">
        <x:v>规则</x:v>
      </x:c>
      <x:c r="F3" s="200" t="str">
        <x:v>动作</x:v>
      </x:c>
      <x:c r="G3" s="200" t="str">
        <x:v>备注</x:v>
      </x:c>
      <x:c r="H3" s="152" t="str"/>
    </x:row>
    <x:row r="4">
      <x:c r="A4" s="187" t="str">
        <x:v>薪资</x:v>
      </x:c>
      <x:c r="B4" s="188" t="n">
        <x:v>25</x:v>
      </x:c>
      <x:c r="C4" s="171"/>
      <x:c r="D4" s="217" t="str">
        <x:v>85+</x:v>
      </x:c>
      <x:c r="E4" s="195" t="str">
        <x:v>base&gt;=35 且总分&gt;=85</x:v>
      </x:c>
      <x:c r="F4" s="195" t="str">
        <x:v>优先约聊</x:v>
      </x:c>
      <x:c r="G4" s="195" t="str">
        <x:v>先问 base、地点、AI 阶段</x:v>
      </x:c>
      <x:c r="H4" s="180" t="str"/>
    </x:row>
    <x:row r="5">
      <x:c r="A5" s="187" t="str">
        <x:v>地点</x:v>
      </x:c>
      <x:c r="B5" s="188" t="n">
        <x:v>20</x:v>
      </x:c>
      <x:c r="C5" s="171"/>
      <x:c r="D5" s="217" t="str">
        <x:v>70-84</x:v>
      </x:c>
      <x:c r="E5" s="195" t="str">
        <x:v>总分 70-84</x:v>
      </x:c>
      <x:c r="F5" s="195" t="str">
        <x:v>备选</x:v>
      </x:c>
      <x:c r="G5" s="195" t="str">
        <x:v>只投明显强匹配岗位</x:v>
      </x:c>
      <x:c r="H5" s="180" t="str"/>
    </x:row>
    <x:row r="6">
      <x:c r="A6" s="187" t="str">
        <x:v>AI Agent 相关度</x:v>
      </x:c>
      <x:c r="B6" s="188" t="n">
        <x:v>20</x:v>
      </x:c>
      <x:c r="C6" s="171"/>
      <x:c r="D6" s="217" t="str">
        <x:v>&lt;70</x:v>
      </x:c>
      <x:c r="E6" s="195" t="str">
        <x:v>总分低于 70</x:v>
      </x:c>
      <x:c r="F6" s="195" t="str">
        <x:v>不投</x:v>
      </x:c>
      <x:c r="G6" s="195" t="str">
        <x:v>保留信息即可</x:v>
      </x:c>
      <x:c r="H6" s="180" t="str"/>
    </x:row>
    <x:row r="7">
      <x:c r="A7" s="187" t="str">
        <x:v>前端/架构匹配</x:v>
      </x:c>
      <x:c r="B7" s="188" t="n">
        <x:v>20</x:v>
      </x:c>
      <x:c r="C7" s="171"/>
      <x:c r="D7" s="217" t="str">
        <x:v>30-35k</x:v>
      </x:c>
      <x:c r="E7" s="195" t="str">
        <x:v>低于 35k 但&gt;=30k</x:v>
      </x:c>
      <x:c r="F7" s="195" t="str">
        <x:v>备选</x:v>
      </x:c>
      <x:c r="G7" s="195" t="str">
        <x:v>必须满足 AI 核心业务、团队强、年终明确</x:v>
      </x:c>
      <x:c r="H7" s="180" t="str"/>
    </x:row>
    <x:row r="8">
      <x:c r="A8" s="189" t="str">
        <x:v>公司/业务质量</x:v>
      </x:c>
      <x:c r="B8" s="190" t="n">
        <x:v>15</x:v>
      </x:c>
      <x:c r="C8" s="171"/>
      <x:c r="D8" s="223" t="str">
        <x:v>&lt;30k</x:v>
      </x:c>
      <x:c r="E8" s="197" t="str">
        <x:v>base 下限低于 30k</x:v>
      </x:c>
      <x:c r="F8" s="197" t="str">
        <x:v>不投</x:v>
      </x:c>
      <x:c r="G8" s="197" t="str">
        <x:v>不投入面试时间</x:v>
      </x:c>
      <x:c r="H8" s="183" t="str"/>
    </x:row>
    <x:row r="9">
      <x:c r="A9" s="171"/>
      <x:c r="B9" s="171"/>
      <x:c r="C9" s="171"/>
      <x:c r="D9" s="171"/>
      <x:c r="E9" s="171"/>
      <x:c r="F9" s="171"/>
      <x:c r="G9" s="171"/>
      <x:c r="H9" s="171"/>
    </x:row>
    <x:row r="10">
      <x:c r="A10" s="171"/>
      <x:c r="B10" s="171"/>
      <x:c r="C10" s="171"/>
      <x:c r="D10" s="171"/>
      <x:c r="E10" s="171"/>
      <x:c r="F10" s="171"/>
      <x:c r="G10" s="171"/>
      <x:c r="H10" s="171"/>
    </x:row>
    <x:row r="11">
      <x:c r="A11" s="231" t="str">
        <x:v>薪资分</x:v>
      </x:c>
      <x:c r="B11" s="232" t="str">
        <x:v>base下限k</x:v>
      </x:c>
      <x:c r="C11" s="233" t="str">
        <x:v>建议</x:v>
      </x:c>
      <x:c r="D11" s="171"/>
      <x:c r="E11" s="234" t="str">
        <x:v>相关度选项</x:v>
      </x:c>
      <x:c r="F11" s="235" t="str">
        <x:v>AI分</x:v>
      </x:c>
      <x:c r="G11" s="235" t="str">
        <x:v>架构分</x:v>
      </x:c>
      <x:c r="H11" s="236" t="str">
        <x:v>适用判断</x:v>
      </x:c>
    </x:row>
    <x:row r="12">
      <x:c r="A12" s="187" t="n">
        <x:v>25</x:v>
      </x:c>
      <x:c r="B12" s="171" t="str">
        <x:v>&gt;=40</x:v>
      </x:c>
      <x:c r="C12" s="188" t="str">
        <x:v>强匹配，可优先谈</x:v>
      </x:c>
      <x:c r="D12" s="171"/>
      <x:c r="E12" s="217" t="str">
        <x:v>核心</x:v>
      </x:c>
      <x:c r="F12" s="195" t="n">
        <x:v>20</x:v>
      </x:c>
      <x:c r="G12" s="195" t="n">
        <x:v>20</x:v>
      </x:c>
      <x:c r="H12" s="180" t="str">
        <x:v>职责直接包含 Agent/RAG/工具调用/平台架构</x:v>
      </x:c>
    </x:row>
    <x:row r="13">
      <x:c r="A13" s="187" t="n">
        <x:v>22</x:v>
      </x:c>
      <x:c r="B13" s="171" t="str">
        <x:v>35-39</x:v>
      </x:c>
      <x:c r="C13" s="188" t="str">
        <x:v>达到硬线</x:v>
      </x:c>
      <x:c r="D13" s="171"/>
      <x:c r="E13" s="217" t="str">
        <x:v>强相关</x:v>
      </x:c>
      <x:c r="F13" s="195" t="n">
        <x:v>16</x:v>
      </x:c>
      <x:c r="G13" s="195" t="n">
        <x:v>16</x:v>
      </x:c>
      <x:c r="H13" s="180" t="str">
        <x:v>大量 LLM 应用或复杂前端工程化</x:v>
      </x:c>
    </x:row>
    <x:row r="14">
      <x:c r="A14" s="187" t="n">
        <x:v>10</x:v>
      </x:c>
      <x:c r="B14" s="171" t="str">
        <x:v>30-34</x:v>
      </x:c>
      <x:c r="C14" s="188" t="str">
        <x:v>只进备选</x:v>
      </x:c>
      <x:c r="D14" s="171"/>
      <x:c r="E14" s="217" t="str">
        <x:v>一般</x:v>
      </x:c>
      <x:c r="F14" s="195" t="n">
        <x:v>10</x:v>
      </x:c>
      <x:c r="G14" s="195" t="n">
        <x:v>10</x:v>
      </x:c>
      <x:c r="H14" s="180" t="str">
        <x:v>有智能产品或平台场景但不是主线</x:v>
      </x:c>
    </x:row>
    <x:row r="15">
      <x:c r="A15" s="187" t="n">
        <x:v>0</x:v>
      </x:c>
      <x:c r="B15" s="171" t="str">
        <x:v>&lt;30</x:v>
      </x:c>
      <x:c r="C15" s="188" t="str">
        <x:v>不投</x:v>
      </x:c>
      <x:c r="D15" s="171"/>
      <x:c r="E15" s="217" t="str">
        <x:v>弱相关</x:v>
      </x:c>
      <x:c r="F15" s="195" t="n">
        <x:v>5</x:v>
      </x:c>
      <x:c r="G15" s="195" t="n">
        <x:v>5</x:v>
      </x:c>
      <x:c r="H15" s="180" t="str">
        <x:v>只沾关键词，缺少落地职责</x:v>
      </x:c>
    </x:row>
    <x:row r="16">
      <x:c r="A16" s="189" t="str">
        <x:v>待补</x:v>
      </x:c>
      <x:c r="B16" s="244" t="str">
        <x:v>未知</x:v>
      </x:c>
      <x:c r="C16" s="190" t="str">
        <x:v>先问 HR</x:v>
      </x:c>
      <x:c r="D16" s="171"/>
      <x:c r="E16" s="217" t="str">
        <x:v>无</x:v>
      </x:c>
      <x:c r="F16" s="195" t="n">
        <x:v>0</x:v>
      </x:c>
      <x:c r="G16" s="195" t="n">
        <x:v>0</x:v>
      </x:c>
      <x:c r="H16" s="180" t="str">
        <x:v>普通后台、页面开发或非目标方向</x:v>
      </x:c>
    </x:row>
    <x:row r="17">
      <x:c r="A17" s="171" t="str"/>
      <x:c r="B17" s="171" t="str"/>
      <x:c r="C17" s="171" t="str"/>
      <x:c r="D17" s="171"/>
      <x:c r="E17" s="217" t="str"/>
      <x:c r="F17" s="195" t="str"/>
      <x:c r="G17" s="195" t="str"/>
      <x:c r="H17" s="180" t="str"/>
    </x:row>
    <x:row r="18">
      <x:c r="A18" s="171"/>
      <x:c r="B18" s="171"/>
      <x:c r="C18" s="171"/>
      <x:c r="D18" s="171"/>
      <x:c r="E18" s="223" t="str">
        <x:v>业务含金量</x:v>
      </x:c>
      <x:c r="F18" s="197" t="str">
        <x:v>高=15</x:v>
      </x:c>
      <x:c r="G18" s="197" t="str">
        <x:v>中高=12</x:v>
      </x:c>
      <x:c r="H18" s="183" t="str">
        <x:v>中=9，待核验=8，低=4</x:v>
      </x:c>
    </x:row>
    <x:row r="19">
      <x:c r="A19" s="171"/>
      <x:c r="B19" s="171"/>
      <x:c r="C19" s="171"/>
      <x:c r="D19" s="171"/>
      <x:c r="E19" s="171"/>
      <x:c r="F19" s="171"/>
      <x:c r="G19" s="171"/>
      <x:c r="H19" s="171"/>
    </x:row>
    <x:row r="20">
      <x:c r="A20" s="171"/>
      <x:c r="B20" s="171"/>
      <x:c r="C20" s="171"/>
      <x:c r="D20" s="171"/>
      <x:c r="E20" s="171"/>
      <x:c r="F20" s="171"/>
      <x:c r="G20" s="171"/>
      <x:c r="H20" s="171"/>
    </x:row>
    <x:row r="21">
      <x:c r="A21" s="238" t="str">
        <x:v>搜索关键词组合</x:v>
      </x:c>
      <x:c r="B21" s="239" t="str"/>
      <x:c r="C21" s="239" t="str"/>
      <x:c r="D21" s="239" t="str"/>
      <x:c r="E21" s="239" t="str"/>
      <x:c r="F21" s="239" t="str"/>
      <x:c r="G21" s="239" t="str"/>
      <x:c r="H21" s="240" t="str"/>
    </x:row>
    <x:row r="22">
      <x:c r="A22" s="217" t="str">
        <x:v>成都 兴隆湖 AI Agent</x:v>
      </x:c>
      <x:c r="B22" s="195" t="str">
        <x:v>成都 科学城 大模型应用</x:v>
      </x:c>
      <x:c r="C22" s="195" t="str">
        <x:v>成都 天府新区 前端架构师</x:v>
      </x:c>
      <x:c r="D22" s="195" t="str">
        <x:v>成都 AI平台 前端</x:v>
      </x:c>
      <x:c r="E22" s="171" t="str"/>
      <x:c r="F22" s="171" t="str"/>
      <x:c r="G22" s="171" t="str"/>
      <x:c r="H22" s="188" t="str"/>
    </x:row>
    <x:row r="23">
      <x:c r="A23" s="217" t="str">
        <x:v>成都 大模型应用工程师 React/Vue</x:v>
      </x:c>
      <x:c r="B23" s="195" t="str">
        <x:v>成都 智能体 工程师</x:v>
      </x:c>
      <x:c r="C23" s="195" t="str">
        <x:v>成都 前端架构 AI 产品</x:v>
      </x:c>
      <x:c r="D23" s="195" t="str">
        <x:v>成都 LLM 应用 前端</x:v>
      </x:c>
      <x:c r="E23" s="171" t="str"/>
      <x:c r="F23" s="171" t="str"/>
      <x:c r="G23" s="171" t="str"/>
      <x:c r="H23" s="188" t="str"/>
    </x:row>
    <x:row r="24">
      <x:c r="A24" s="241" t="str">
        <x:v>警惕信号</x:v>
      </x:c>
      <x:c r="B24" s="242" t="str"/>
      <x:c r="C24" s="242" t="str"/>
      <x:c r="D24" s="242" t="str"/>
      <x:c r="E24" s="242" t="str"/>
      <x:c r="F24" s="242" t="str"/>
      <x:c r="G24" s="242" t="str"/>
      <x:c r="H24" s="243" t="str"/>
    </x:row>
    <x:row r="25">
      <x:c r="A25" s="217" t="str">
        <x:v>JD 只堆大模型/Agent 关键词但职责是外包交付、售前方案、数据标注、传统后台管理系统</x:v>
      </x:c>
      <x:c r="B25" s="195" t="str"/>
      <x:c r="C25" s="195" t="str"/>
      <x:c r="D25" s="195" t="str"/>
      <x:c r="E25" s="195" t="str"/>
      <x:c r="F25" s="195" t="str"/>
      <x:c r="G25" s="195" t="str"/>
      <x:c r="H25" s="180" t="str"/>
    </x:row>
    <x:row r="26">
      <x:c r="A26" s="217" t="str">
        <x:v>薪资写 25-50k 但实际强压 30k 以下；地点模糊或长期驻场</x:v>
      </x:c>
      <x:c r="B26" s="195" t="str"/>
      <x:c r="C26" s="195" t="str"/>
      <x:c r="D26" s="195" t="str"/>
      <x:c r="E26" s="195" t="str"/>
      <x:c r="F26" s="195" t="str"/>
      <x:c r="G26" s="195" t="str"/>
      <x:c r="H26" s="180" t="str"/>
    </x:row>
    <x:row r="27">
      <x:c r="A27" s="223" t="str">
        <x:v>纯视觉/算法训练岗、低薪外包岗、只写页面的普通前端岗不投入</x:v>
      </x:c>
      <x:c r="B27" s="197" t="str"/>
      <x:c r="C27" s="197" t="str"/>
      <x:c r="D27" s="197" t="str"/>
      <x:c r="E27" s="197" t="str"/>
      <x:c r="F27" s="197" t="str"/>
      <x:c r="G27" s="197" t="str"/>
      <x:c r="H27" s="183" t="str"/>
    </x:row>
  </x:sheetData>
  <x:mergeCells>
    <x:mergeCell ref="A1:H1"/>
    <x:mergeCell ref="A21:H21"/>
    <x:mergeCell ref="A24:H24"/>
    <x:mergeCell ref="A25:H25"/>
    <x:mergeCell ref="A26:H26"/>
    <x:mergeCell ref="A27:H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34.439998626708984" hidden="0" customWidth="1"/>
    <x:col min="3" max="3" width="27.780000686645508" hidden="0" customWidth="1"/>
    <x:col min="4" max="4" width="3.3299999237060547" hidden="0" customWidth="1"/>
    <x:col min="5" max="5" width="13.329999923706055" hidden="0" customWidth="1"/>
    <x:col min="6" max="6" width="28.889999389648438" hidden="0" customWidth="1"/>
    <x:col min="7" max="7" width="11.109999656677246" hidden="0" customWidth="1"/>
    <x:col min="8" max="8" width="11.109999656677246" hidden="0" customWidth="1"/>
  </x:cols>
  <x:sheetData>
    <x:row r="1" ht="31.5" customHeight="1">
      <x:c r="A1" s="130" t="str">
        <x:v>沟通核验</x:v>
      </x:c>
      <x:c r="B1" s="130" t="str">
        <x:v>沟通核验</x:v>
      </x:c>
      <x:c r="C1" s="130" t="str">
        <x:v>沟通核验</x:v>
      </x:c>
      <x:c r="D1" s="130" t="str">
        <x:v>沟通核验</x:v>
      </x:c>
      <x:c r="E1" s="130" t="str">
        <x:v>沟通核验</x:v>
      </x:c>
      <x:c r="F1" s="130" t="str">
        <x:v>沟通核验</x:v>
      </x:c>
      <x:c r="G1" s="130" t="str">
        <x:v>沟通核验</x:v>
      </x:c>
      <x:c r="H1" s="130" t="str">
        <x:v>沟通核验</x:v>
      </x:c>
    </x:row>
    <x:row r="2">
      <x:c r="A2" s="171"/>
      <x:c r="B2" s="171"/>
      <x:c r="C2" s="171"/>
      <x:c r="D2" s="171"/>
      <x:c r="E2" s="171"/>
      <x:c r="F2" s="171"/>
      <x:c r="G2" s="171"/>
      <x:c r="H2" s="171"/>
    </x:row>
    <x:row r="3">
      <x:c r="A3" s="151" t="str">
        <x:v>面试前必问</x:v>
      </x:c>
      <x:c r="B3" s="200" t="str">
        <x:v>问题</x:v>
      </x:c>
      <x:c r="C3" s="152" t="str">
        <x:v>通过标准</x:v>
      </x:c>
      <x:c r="D3" s="171"/>
      <x:c r="E3" s="234" t="str">
        <x:v>简历/Demo 证据包装</x:v>
      </x:c>
      <x:c r="F3" s="235" t="str"/>
      <x:c r="G3" s="235" t="str"/>
      <x:c r="H3" s="236" t="str"/>
    </x:row>
    <x:row r="4">
      <x:c r="A4" s="194" t="str">
        <x:v>base 下限</x:v>
      </x:c>
      <x:c r="B4" s="195" t="str">
        <x:v>这个岗位月 base 下限大概是多少？35k 是否在可谈范围内？</x:v>
      </x:c>
      <x:c r="C4" s="180" t="str">
        <x:v>明确不低于 35k，或 30-35k 但有强理由进入备选</x:v>
      </x:c>
      <x:c r="D4" s="171"/>
      <x:c r="E4" s="247" t="str">
        <x:v>业务问题</x:v>
      </x:c>
      <x:c r="F4" s="195" t="str">
        <x:v>这个 Agent/RAG/工作流解决了什么明确业务问题？</x:v>
      </x:c>
      <x:c r="G4" s="195" t="str"/>
      <x:c r="H4" s="180" t="str"/>
    </x:row>
    <x:row r="5">
      <x:c r="A5" s="194" t="str">
        <x:v>办公地点</x:v>
      </x:c>
      <x:c r="B5" s="195" t="str">
        <x:v>实际办公地点在哪个园区/楼宇？是否长期驻场？</x:v>
      </x:c>
      <x:c r="C5" s="180" t="str">
        <x:v>兴隆湖/科学城/天府新区优先；扩展区需岗位强</x:v>
      </x:c>
      <x:c r="D5" s="171"/>
      <x:c r="E5" s="247" t="str">
        <x:v>Agent 设计</x:v>
      </x:c>
      <x:c r="F5" s="195" t="str">
        <x:v>工具调用、检索、工作流、权限、评估如何设计？</x:v>
      </x:c>
      <x:c r="G5" s="195" t="str"/>
      <x:c r="H5" s="180" t="str"/>
    </x:row>
    <x:row r="6">
      <x:c r="A6" s="194" t="str">
        <x:v>AI 阶段</x:v>
      </x:c>
      <x:c r="B6" s="195" t="str">
        <x:v>AI Agent/大模型项目现在是 demo、POC 还是生产阶段？</x:v>
      </x:c>
      <x:c r="C6" s="180" t="str">
        <x:v>真实生产或明确落地路线优先</x:v>
      </x:c>
      <x:c r="D6" s="171"/>
      <x:c r="E6" s="247" t="str">
        <x:v>工程架构</x:v>
      </x:c>
      <x:c r="F6" s="195" t="str">
        <x:v>前端状态、异步任务、可观测性、错误恢复、灰度如何支撑可用性？</x:v>
      </x:c>
      <x:c r="G6" s="195" t="str"/>
      <x:c r="H6" s="180" t="str"/>
    </x:row>
    <x:row r="7">
      <x:c r="A7" s="194" t="str">
        <x:v>团队配置</x:v>
      </x:c>
      <x:c r="B7" s="195" t="str">
        <x:v>团队里前端、后端、算法/模型、产品分别几人？</x:v>
      </x:c>
      <x:c r="C7" s="180" t="str">
        <x:v>有工程团队，不是单人交付或纯售前</x:v>
      </x:c>
      <x:c r="D7" s="171"/>
      <x:c r="E7" s="247" t="str">
        <x:v>结果指标</x:v>
      </x:c>
      <x:c r="F7" s="195" t="str">
        <x:v>节省时间、准确率、响应时延、转化/处理量等如何表达？</x:v>
      </x:c>
      <x:c r="G7" s="195" t="str"/>
      <x:c r="H7" s="180" t="str"/>
    </x:row>
    <x:row r="8">
      <x:c r="A8" s="194" t="str">
        <x:v>职责边界</x:v>
      </x:c>
      <x:c r="B8" s="195" t="str">
        <x:v>这个岗位主要做应用工程、平台架构，还是交付驻场/方案包装？</x:v>
      </x:c>
      <x:c r="C8" s="180" t="str">
        <x:v>前端/架构 + AI 应用工程化为主</x:v>
      </x:c>
      <x:c r="D8" s="171"/>
      <x:c r="E8" s="248" t="str">
        <x:v>主标题</x:v>
      </x:c>
      <x:c r="F8" s="197" t="str">
        <x:v>前端/架构工程师 | AI Agent 应用工程化方向</x:v>
      </x:c>
      <x:c r="G8" s="197" t="str"/>
      <x:c r="H8" s="183" t="str"/>
    </x:row>
    <x:row r="9">
      <x:c r="A9" s="196" t="str">
        <x:v>薪酬结构</x:v>
      </x:c>
      <x:c r="B9" s="197" t="str">
        <x:v>年终、绩效、股票/奖金是否有明确规则？</x:v>
      </x:c>
      <x:c r="C9" s="183" t="str">
        <x:v>总包清晰，不用模糊奖金弥补低 base</x:v>
      </x:c>
      <x:c r="D9" s="171"/>
      <x:c r="E9" s="171"/>
      <x:c r="F9" s="171"/>
      <x:c r="G9" s="171"/>
      <x:c r="H9" s="171"/>
    </x:row>
    <x:row r="10">
      <x:c r="A10" s="171"/>
      <x:c r="B10" s="171"/>
      <x:c r="C10" s="171"/>
      <x:c r="D10" s="171"/>
      <x:c r="E10" s="171"/>
      <x:c r="F10" s="171"/>
      <x:c r="G10" s="171"/>
      <x:c r="H10" s="171"/>
    </x:row>
    <x:row r="11">
      <x:c r="A11" s="171"/>
      <x:c r="B11" s="171"/>
      <x:c r="C11" s="171"/>
      <x:c r="D11" s="171"/>
      <x:c r="E11" s="171"/>
      <x:c r="F11" s="171"/>
      <x:c r="G11" s="171"/>
      <x:c r="H11" s="171"/>
    </x:row>
    <x:row r="12">
      <x:c r="A12" s="238" t="str">
        <x:v>投递前五步</x:v>
      </x:c>
      <x:c r="B12" s="239" t="str"/>
      <x:c r="C12" s="239" t="str"/>
      <x:c r="D12" s="239" t="str"/>
      <x:c r="E12" s="239" t="str"/>
      <x:c r="F12" s="239" t="str"/>
      <x:c r="G12" s="239" t="str"/>
      <x:c r="H12" s="240" t="str"/>
    </x:row>
    <x:row r="13">
      <x:c r="A13" s="217" t="str">
        <x:v>1. JD 与岗位类型是否命中第一/第二优先级</x:v>
      </x:c>
      <x:c r="B13" s="195" t="str"/>
      <x:c r="C13" s="195" t="str"/>
      <x:c r="D13" s="195" t="str"/>
      <x:c r="E13" s="195" t="str"/>
      <x:c r="F13" s="195" t="str"/>
      <x:c r="G13" s="195" t="str"/>
      <x:c r="H13" s="180" t="str"/>
    </x:row>
    <x:row r="14">
      <x:c r="A14" s="217" t="str">
        <x:v>2. base 下限是否 &gt;=35k；30-35k 只能备选</x:v>
      </x:c>
      <x:c r="B14" s="195" t="str"/>
      <x:c r="C14" s="195" t="str"/>
      <x:c r="D14" s="195" t="str"/>
      <x:c r="E14" s="195" t="str"/>
      <x:c r="F14" s="195" t="str"/>
      <x:c r="G14" s="195" t="str"/>
      <x:c r="H14" s="180" t="str"/>
    </x:row>
    <x:row r="15">
      <x:c r="A15" s="217" t="str">
        <x:v>3. 办公地点与通勤是否在可接受区间</x:v>
      </x:c>
      <x:c r="B15" s="195" t="str"/>
      <x:c r="C15" s="195" t="str"/>
      <x:c r="D15" s="195" t="str"/>
      <x:c r="E15" s="195" t="str"/>
      <x:c r="F15" s="195" t="str"/>
      <x:c r="G15" s="195" t="str"/>
      <x:c r="H15" s="180" t="str"/>
    </x:row>
    <x:row r="16">
      <x:c r="A16" s="223" t="str">
        <x:v>4. AI 项目是否真实落地，不是关键词包装</x:v>
      </x:c>
      <x:c r="B16" s="197" t="str"/>
      <x:c r="C16" s="197" t="str"/>
      <x:c r="D16" s="197" t="str"/>
      <x:c r="E16" s="197" t="str"/>
      <x:c r="F16" s="197" t="str"/>
      <x:c r="G16" s="197" t="str"/>
      <x:c r="H16" s="183" t="str"/>
    </x:row>
  </x:sheetData>
  <x:mergeCells>
    <x:mergeCell ref="A1:H1"/>
    <x:mergeCell ref="E3:H3"/>
    <x:mergeCell ref="F4:H4"/>
    <x:mergeCell ref="F5:H5"/>
    <x:mergeCell ref="F6:H6"/>
    <x:mergeCell ref="F7:H7"/>
    <x:mergeCell ref="F8:H8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